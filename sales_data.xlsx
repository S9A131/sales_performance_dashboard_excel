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Sai Priya\OneDrive\ドキュメント\"/>
    </mc:Choice>
  </mc:AlternateContent>
  <xr:revisionPtr revIDLastSave="0" documentId="13_ncr:1_{989A1DC4-0591-477E-A96D-DF5E071AB683}" xr6:coauthVersionLast="47" xr6:coauthVersionMax="47" xr10:uidLastSave="{00000000-0000-0000-0000-000000000000}"/>
  <bookViews>
    <workbookView xWindow="-108" yWindow="-108" windowWidth="23256" windowHeight="12456" firstSheet="2" activeTab="5" xr2:uid="{79F19A76-7A5E-4551-9192-F0D95E49546B}"/>
  </bookViews>
  <sheets>
    <sheet name="Sales_by_Region" sheetId="2" r:id="rId1"/>
    <sheet name="Sales_by_Product" sheetId="3" r:id="rId2"/>
    <sheet name="Sales_by_Salesperson" sheetId="4" r:id="rId3"/>
    <sheet name="Monthly_sales" sheetId="6" r:id="rId4"/>
    <sheet name="Sheet1" sheetId="1" r:id="rId5"/>
    <sheet name="Sales_Dashboard" sheetId="7" r:id="rId6"/>
  </sheets>
  <definedNames>
    <definedName name="Slicer_Product">#N/A</definedName>
    <definedName name="Slicer_Region">#N/A</definedName>
    <definedName name="Slicer_Salesperson">#N/A</definedName>
  </definedNames>
  <calcPr calcId="191029"/>
  <pivotCaches>
    <pivotCache cacheId="1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4" i="1" l="1"/>
  <c r="H45" i="1"/>
  <c r="H46" i="1"/>
  <c r="H47" i="1"/>
  <c r="H48" i="1"/>
  <c r="H49" i="1"/>
  <c r="H50" i="1"/>
  <c r="H28" i="1"/>
  <c r="H29" i="1"/>
  <c r="H30" i="1"/>
  <c r="H31" i="1"/>
  <c r="H32" i="1"/>
  <c r="H33" i="1"/>
  <c r="H34" i="1"/>
  <c r="H35" i="1"/>
  <c r="H36" i="1"/>
  <c r="H37" i="1"/>
  <c r="H38" i="1"/>
  <c r="H39" i="1"/>
  <c r="H40" i="1"/>
  <c r="H41" i="1"/>
  <c r="H42" i="1"/>
  <c r="H43" i="1"/>
  <c r="H17" i="1"/>
  <c r="H18" i="1"/>
  <c r="H19" i="1"/>
  <c r="H20" i="1"/>
  <c r="H21" i="1"/>
  <c r="H22" i="1"/>
  <c r="H23" i="1"/>
  <c r="H24" i="1"/>
  <c r="H25" i="1"/>
  <c r="H26" i="1"/>
  <c r="H27" i="1"/>
  <c r="H3" i="1"/>
  <c r="H4" i="1"/>
  <c r="H5" i="1"/>
  <c r="H6" i="1"/>
  <c r="H7" i="1"/>
  <c r="H8" i="1"/>
  <c r="H9" i="1"/>
  <c r="H10" i="1"/>
  <c r="H11" i="1"/>
  <c r="H12" i="1"/>
  <c r="H13" i="1"/>
  <c r="H14" i="1"/>
  <c r="H15" i="1"/>
  <c r="H16" i="1"/>
  <c r="H2" i="1"/>
</calcChain>
</file>

<file path=xl/sharedStrings.xml><?xml version="1.0" encoding="utf-8"?>
<sst xmlns="http://schemas.openxmlformats.org/spreadsheetml/2006/main" count="184" uniqueCount="25">
  <si>
    <t>Order_ID</t>
  </si>
  <si>
    <t>Date</t>
  </si>
  <si>
    <t>Region</t>
  </si>
  <si>
    <t>Salesperson</t>
  </si>
  <si>
    <t>Product</t>
  </si>
  <si>
    <t>Quantity</t>
  </si>
  <si>
    <t>Unit_Price</t>
  </si>
  <si>
    <t>Total_Sales</t>
  </si>
  <si>
    <t>south</t>
  </si>
  <si>
    <t>North</t>
  </si>
  <si>
    <t>West</t>
  </si>
  <si>
    <t>East</t>
  </si>
  <si>
    <t>Rahul</t>
  </si>
  <si>
    <t>Priya</t>
  </si>
  <si>
    <t>Arjun</t>
  </si>
  <si>
    <t>Sneha</t>
  </si>
  <si>
    <t>Laptop</t>
  </si>
  <si>
    <t>Mobile</t>
  </si>
  <si>
    <t>Tablet</t>
  </si>
  <si>
    <t>Row Labels</t>
  </si>
  <si>
    <t>Grand Total</t>
  </si>
  <si>
    <t>Sum of Total_Sales</t>
  </si>
  <si>
    <t>Jan</t>
  </si>
  <si>
    <t>Feb</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</si>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</sst>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28"/>
      <color theme="2"/>
      <name val="Calibri"/>
      <family val="2"/>
      <scheme val="minor"/>
    </font>
  </fonts>
  <fills count="4">
    <fill>
      <patternFill patternType="none"/>
    </fill>
    <fill>
      <patternFill patternType="gray125"/>
    </fill>
    <fill>
      <patternFill patternType="solid">
        <fgColor theme="0"/>
        <bgColor indexed="64"/>
      </patternFill>
    </fill>
    <fill>
      <patternFill patternType="solid">
        <fgColor theme="8" tint="-0.249977111117893"/>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3" borderId="0" xfId="0" applyFill="1" applyAlignment="1">
      <alignment horizontal="center"/>
    </xf>
    <xf numFmtId="0" fontId="2" fillId="3" borderId="0" xfId="0" applyFont="1" applyFill="1" applyAlignment="1">
      <alignment horizontal="center"/>
    </xf>
  </cellXfs>
  <cellStyles count="1">
    <cellStyle name="Normal" xfId="0" builtinId="0"/>
  </cellStyles>
  <dxfs count="2">
    <dxf>
      <font>
        <b/>
        <i val="0"/>
        <strike val="0"/>
        <condense val="0"/>
        <extend val="0"/>
        <outline val="0"/>
        <shadow val="0"/>
        <u val="none"/>
        <vertAlign val="baseline"/>
        <sz val="11"/>
        <color theme="1"/>
        <name val="Calibri"/>
        <family val="2"/>
        <scheme val="minor"/>
      </font>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[sales_data.xlsx]Sales_by_Region!PivotTable1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Product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Sales_by_Region!$A$4:$A$8</c:f>
              <c:strCache>
                <c:ptCount val="4"/>
                <c:pt idx="0">
                  <c:v>East</c:v>
                </c:pt>
                <c:pt idx="1">
                  <c:v>North</c:v>
                </c:pt>
                <c:pt idx="2">
                  <c:v>south</c:v>
                </c:pt>
                <c:pt idx="3">
                  <c:v>West</c:v>
                </c:pt>
              </c:strCache>
            </c:strRef>
          </c:cat>
          <c:val>
            <c:numRef>
              <c:f>Sales_by_Region!$B$4:$B$8</c:f>
              <c:numCache>
                <c:formatCode>General</c:formatCode>
                <c:ptCount val="4"/>
                <c:pt idx="0">
                  <c:v>910000</c:v>
                </c:pt>
                <c:pt idx="1">
                  <c:v>1080000</c:v>
                </c:pt>
                <c:pt idx="2">
                  <c:v>1110000</c:v>
                </c:pt>
                <c:pt idx="3">
                  <c:v>685000</c:v>
                </c:pt>
              </c:numCache>
            </c:numRef>
          </c:val>
          <c:extLst>
            <c:ext xmlns:c16="http://schemas.microsoft.com/office/drawing/2014/chart" uri="{C3380CC4-5D6E-409C-BE32-E72D297353CC}">
              <c16:uniqueId val="{00000000-2665-4E2A-AE27-02235C100A09}"/>
            </c:ext>
          </c:extLst>
        </c:ser>
        <c:dLbls>
          <c:dLblPos val="outEnd"/>
          <c:showLegendKey val="0"/>
          <c:showVal val="1"/>
          <c:showCatName val="0"/>
          <c:showSerName val="0"/>
          <c:showPercent val="0"/>
          <c:showBubbleSize val="0"/>
        </c:dLbls>
        <c:gapWidth val="219"/>
        <c:overlap val="-27"/>
        <c:axId val="137427823"/>
        <c:axId val="137423983"/>
      </c:barChart>
      <c:catAx>
        <c:axId val="13742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23983"/>
        <c:crosses val="autoZero"/>
        <c:auto val="1"/>
        <c:lblAlgn val="ctr"/>
        <c:lblOffset val="100"/>
        <c:noMultiLvlLbl val="0"/>
      </c:catAx>
      <c:valAx>
        <c:axId val="137423983"/>
        <c:scaling>
          <c:orientation val="minMax"/>
        </c:scaling>
        <c:delete val="1"/>
        <c:axPos val="l"/>
        <c:numFmt formatCode="General" sourceLinked="1"/>
        <c:majorTickMark val="none"/>
        <c:minorTickMark val="none"/>
        <c:tickLblPos val="nextTo"/>
        <c:crossAx val="13742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[sales_data.xlsx]Sales_by_Product!PivotTable2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Product</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Sales_by_Product!$A$4:$A$7</c:f>
              <c:strCache>
                <c:ptCount val="3"/>
                <c:pt idx="0">
                  <c:v>Laptop</c:v>
                </c:pt>
                <c:pt idx="1">
                  <c:v>Mobile</c:v>
                </c:pt>
                <c:pt idx="2">
                  <c:v>Tablet</c:v>
                </c:pt>
              </c:strCache>
            </c:strRef>
          </c:cat>
          <c:val>
            <c:numRef>
              <c:f>Sales_by_Product!$B$4:$B$7</c:f>
              <c:numCache>
                <c:formatCode>General</c:formatCode>
                <c:ptCount val="3"/>
                <c:pt idx="0">
                  <c:v>1595000</c:v>
                </c:pt>
                <c:pt idx="1">
                  <c:v>1260000</c:v>
                </c:pt>
                <c:pt idx="2">
                  <c:v>930000</c:v>
                </c:pt>
              </c:numCache>
            </c:numRef>
          </c:val>
          <c:extLst>
            <c:ext xmlns:c16="http://schemas.microsoft.com/office/drawing/2014/chart" uri="{C3380CC4-5D6E-409C-BE32-E72D297353CC}">
              <c16:uniqueId val="{00000003-947C-4799-84D2-6FBF56474767}"/>
            </c:ext>
          </c:extLst>
        </c:ser>
        <c:dLbls>
          <c:dLblPos val="outEnd"/>
          <c:showLegendKey val="0"/>
          <c:showVal val="1"/>
          <c:showCatName val="0"/>
          <c:showSerName val="0"/>
          <c:showPercent val="0"/>
          <c:showBubbleSize val="0"/>
        </c:dLbls>
        <c:gapWidth val="219"/>
        <c:overlap val="-27"/>
        <c:axId val="137427823"/>
        <c:axId val="137423983"/>
      </c:barChart>
      <c:catAx>
        <c:axId val="13742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23983"/>
        <c:crosses val="autoZero"/>
        <c:auto val="1"/>
        <c:lblAlgn val="ctr"/>
        <c:lblOffset val="100"/>
        <c:noMultiLvlLbl val="0"/>
      </c:catAx>
      <c:valAx>
        <c:axId val="137423983"/>
        <c:scaling>
          <c:orientation val="minMax"/>
        </c:scaling>
        <c:delete val="1"/>
        <c:axPos val="l"/>
        <c:numFmt formatCode="General" sourceLinked="1"/>
        <c:majorTickMark val="none"/>
        <c:minorTickMark val="none"/>
        <c:tickLblPos val="nextTo"/>
        <c:crossAx val="13742782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[sales_data.xlsx]Sales_by_Salesperson!PivotTable3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Contribution by Salesperson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Sales_by_Salesperson!$B$3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Sales_by_Salesperson!$A$4:$A$8</c:f>
              <c:strCache>
                <c:ptCount val="4"/>
                <c:pt idx="0">
                  <c:v>Arjun</c:v>
                </c:pt>
                <c:pt idx="1">
                  <c:v>Priya</c:v>
                </c:pt>
                <c:pt idx="2">
                  <c:v>Rahul</c:v>
                </c:pt>
                <c:pt idx="3">
                  <c:v>Sneha</c:v>
                </c:pt>
              </c:strCache>
            </c:strRef>
          </c:cat>
          <c:val>
            <c:numRef>
              <c:f>Sales_by_Salesperson!$B$4:$B$8</c:f>
              <c:numCache>
                <c:formatCode>General</c:formatCode>
                <c:ptCount val="4"/>
                <c:pt idx="0">
                  <c:v>685000</c:v>
                </c:pt>
                <c:pt idx="1">
                  <c:v>1080000</c:v>
                </c:pt>
                <c:pt idx="2">
                  <c:v>1110000</c:v>
                </c:pt>
                <c:pt idx="3">
                  <c:v>910000</c:v>
                </c:pt>
              </c:numCache>
            </c:numRef>
          </c:val>
          <c:extLst>
            <c:ext xmlns:c16="http://schemas.microsoft.com/office/drawing/2014/chart" uri="{C3380CC4-5D6E-409C-BE32-E72D297353CC}">
              <c16:uniqueId val="{00000000-67C2-4945-9EAA-71FAD4BDC3A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[sales_data.xlsx]Monthly_sales!PivotTable5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Monthly_sales!$A$4:$A$6</c:f>
              <c:strCache>
                <c:ptCount val="2"/>
                <c:pt idx="0">
                  <c:v>Jan</c:v>
                </c:pt>
                <c:pt idx="1">
                  <c:v>Feb</c:v>
                </c:pt>
              </c:strCache>
            </c:strRef>
          </c:cat>
          <c:val>
            <c:numRef>
              <c:f>Monthly_sales!$B$4:$B$6</c:f>
              <c:numCache>
                <c:formatCode>General</c:formatCode>
                <c:ptCount val="2"/>
                <c:pt idx="0">
                  <c:v>2525000</c:v>
                </c:pt>
                <c:pt idx="1">
                  <c:v>1260000</c:v>
                </c:pt>
              </c:numCache>
            </c:numRef>
          </c:val>
          <c:smooth val="0"/>
          <c:extLst>
            <c:ext xmlns:c16="http://schemas.microsoft.com/office/drawing/2014/chart" uri="{C3380CC4-5D6E-409C-BE32-E72D297353CC}">
              <c16:uniqueId val="{00000000-F60E-4FA9-9089-482CEADD2073}"/>
            </c:ext>
          </c:extLst>
        </c:ser>
        <c:dLbls>
          <c:dLblPos val="t"/>
          <c:showLegendKey val="0"/>
          <c:showVal val="1"/>
          <c:showCatName val="0"/>
          <c:showSerName val="0"/>
          <c:showPercent val="0"/>
          <c:showBubbleSize val="0"/>
        </c:dLbls>
        <c:smooth val="0"/>
        <c:axId val="137450383"/>
        <c:axId val="137450863"/>
      </c:lineChart>
      <c:catAx>
        <c:axId val="13745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50863"/>
        <c:crosses val="autoZero"/>
        <c:auto val="1"/>
        <c:lblAlgn val="ctr"/>
        <c:lblOffset val="100"/>
        <c:noMultiLvlLbl val="0"/>
      </c:catAx>
      <c:valAx>
        <c:axId val="13745086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745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[sales_data.xlsx]Sales_by_Region!PivotTable1</c:name>
    <c:fmtId val="2"/>
  </c:pivotSource>
  <c:chart>
    <c:title>
      <c:tx>
        <c:rich>
          <a:bodyPr rot="0" spcFirstLastPara="1" vertOverflow="ellipsis" vert="horz" wrap="square" anchor="ctr" anchorCtr="1"/>
          <a:lstStyle/>
          <a:p>
            <a:pPr>
              <a:defRPr sz="1800" b="1" i="0" u="none" strike="noStrike" kern="1200" spc="0" baseline="0">
                <a:solidFill>
                  <a:schemeClr val="accent5">
                    <a:lumMod val="75000"/>
                  </a:schemeClr>
                </a:solidFill>
                <a:latin typeface="+mn-lt"/>
                <a:ea typeface="+mn-ea"/>
                <a:cs typeface="+mn-cs"/>
              </a:defRPr>
            </a:pPr>
            <a:r>
              <a:rPr lang="en-IN" sz="1800" b="1"/>
              <a:t>Sales by Region</a:t>
            </a:r>
          </a:p>
          <a:p>
            <a:pPr>
              <a:defRPr sz="1800" b="1"/>
            </a:pPr>
            <a:endParaRPr lang="en-IN"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5">
                  <a:lumMod val="7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Sales_by_Region!$A$4:$A$8</c:f>
              <c:strCache>
                <c:ptCount val="4"/>
                <c:pt idx="0">
                  <c:v>East</c:v>
                </c:pt>
                <c:pt idx="1">
                  <c:v>North</c:v>
                </c:pt>
                <c:pt idx="2">
                  <c:v>south</c:v>
                </c:pt>
                <c:pt idx="3">
                  <c:v>West</c:v>
                </c:pt>
              </c:strCache>
            </c:strRef>
          </c:cat>
          <c:val>
            <c:numRef>
              <c:f>Sales_by_Region!$B$4:$B$8</c:f>
              <c:numCache>
                <c:formatCode>General</c:formatCode>
                <c:ptCount val="4"/>
                <c:pt idx="0">
                  <c:v>910000</c:v>
                </c:pt>
                <c:pt idx="1">
                  <c:v>1080000</c:v>
                </c:pt>
                <c:pt idx="2">
                  <c:v>1110000</c:v>
                </c:pt>
                <c:pt idx="3">
                  <c:v>685000</c:v>
                </c:pt>
              </c:numCache>
            </c:numRef>
          </c:val>
          <c:extLst>
            <c:ext xmlns:c16="http://schemas.microsoft.com/office/drawing/2014/chart" uri="{C3380CC4-5D6E-409C-BE32-E72D297353CC}">
              <c16:uniqueId val="{00000000-6171-4410-AC37-AF1E09063DF3}"/>
            </c:ext>
          </c:extLst>
        </c:ser>
        <c:dLbls>
          <c:dLblPos val="outEnd"/>
          <c:showLegendKey val="0"/>
          <c:showVal val="1"/>
          <c:showCatName val="0"/>
          <c:showSerName val="0"/>
          <c:showPercent val="0"/>
          <c:showBubbleSize val="0"/>
        </c:dLbls>
        <c:gapWidth val="219"/>
        <c:overlap val="-27"/>
        <c:axId val="137427823"/>
        <c:axId val="137423983"/>
      </c:barChart>
      <c:catAx>
        <c:axId val="13742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137423983"/>
        <c:crosses val="autoZero"/>
        <c:auto val="1"/>
        <c:lblAlgn val="ctr"/>
        <c:lblOffset val="100"/>
        <c:noMultiLvlLbl val="0"/>
      </c:catAx>
      <c:valAx>
        <c:axId val="137423983"/>
        <c:scaling>
          <c:orientation val="minMax"/>
        </c:scaling>
        <c:delete val="1"/>
        <c:axPos val="l"/>
        <c:numFmt formatCode="General" sourceLinked="1"/>
        <c:majorTickMark val="none"/>
        <c:minorTickMark val="none"/>
        <c:tickLblPos val="nextTo"/>
        <c:crossAx val="13742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solidFill>
            <a:schemeClr val="accent5">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[sales_data.xlsx]Sales_by_Product!PivotTable2</c:name>
    <c:fmtId val="2"/>
  </c:pivotSource>
  <c:chart>
    <c:title>
      <c:tx>
        <c:rich>
          <a:bodyPr rot="0" vert="horz"/>
          <a:lstStyle/>
          <a:p>
            <a:pPr>
              <a:defRPr sz="1800"/>
            </a:pPr>
            <a:r>
              <a:rPr lang="en-IN" sz="1800"/>
              <a:t>Sales by Product</a:t>
            </a:r>
          </a:p>
        </c:rich>
      </c:tx>
      <c:overlay val="1"/>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s>
    <c:plotArea>
      <c:layout/>
      <c:barChart>
        <c:barDir val="col"/>
        <c:grouping val="clustered"/>
        <c:varyColors val="0"/>
        <c:ser>
          <c:idx val="0"/>
          <c:order val="0"/>
          <c:tx>
            <c:strRef>
              <c:f>Sales_by_Product!$B$3</c:f>
              <c:strCache>
                <c:ptCount val="1"/>
                <c:pt idx="0">
                  <c:v>Total</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Sales_by_Product!$A$4:$A$7</c:f>
              <c:strCache>
                <c:ptCount val="3"/>
                <c:pt idx="0">
                  <c:v>Laptop</c:v>
                </c:pt>
                <c:pt idx="1">
                  <c:v>Mobile</c:v>
                </c:pt>
                <c:pt idx="2">
                  <c:v>Tablet</c:v>
                </c:pt>
              </c:strCache>
            </c:strRef>
          </c:cat>
          <c:val>
            <c:numRef>
              <c:f>Sales_by_Product!$B$4:$B$7</c:f>
              <c:numCache>
                <c:formatCode>General</c:formatCode>
                <c:ptCount val="3"/>
                <c:pt idx="0">
                  <c:v>1595000</c:v>
                </c:pt>
                <c:pt idx="1">
                  <c:v>1260000</c:v>
                </c:pt>
                <c:pt idx="2">
                  <c:v>930000</c:v>
                </c:pt>
              </c:numCache>
            </c:numRef>
          </c:val>
          <c:extLst>
            <c:ext xmlns:c16="http://schemas.microsoft.com/office/drawing/2014/chart" uri="{C3380CC4-5D6E-409C-BE32-E72D297353CC}">
              <c16:uniqueId val="{00000000-76D8-44CB-8733-5C27DA4A62DD}"/>
            </c:ext>
          </c:extLst>
        </c:ser>
        <c:dLbls>
          <c:dLblPos val="outEnd"/>
          <c:showLegendKey val="0"/>
          <c:showVal val="1"/>
          <c:showCatName val="0"/>
          <c:showSerName val="0"/>
          <c:showPercent val="0"/>
          <c:showBubbleSize val="0"/>
        </c:dLbls>
        <c:gapWidth val="219"/>
        <c:overlap val="-27"/>
        <c:axId val="137427823"/>
        <c:axId val="137423983"/>
      </c:barChart>
      <c:catAx>
        <c:axId val="13742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37423983"/>
        <c:crosses val="autoZero"/>
        <c:auto val="1"/>
        <c:lblAlgn val="ctr"/>
        <c:lblOffset val="100"/>
        <c:noMultiLvlLbl val="0"/>
      </c:catAx>
      <c:valAx>
        <c:axId val="137423983"/>
        <c:scaling>
          <c:orientation val="minMax"/>
        </c:scaling>
        <c:delete val="1"/>
        <c:axPos val="l"/>
        <c:numFmt formatCode="General" sourceLinked="1"/>
        <c:majorTickMark val="none"/>
        <c:minorTickMark val="none"/>
        <c:tickLblPos val="nextTo"/>
        <c:crossAx val="137427823"/>
        <c:crosses val="autoZero"/>
        <c:crossBetween val="between"/>
      </c:valAx>
      <c:spPr>
        <a:solidFill>
          <a:schemeClr val="accent5">
            <a:lumMod val="20000"/>
            <a:lumOff val="80000"/>
          </a:schemeClr>
        </a:solidFill>
        <a:ln>
          <a:noFill/>
        </a:ln>
      </c:spPr>
    </c:plotArea>
    <c:plotVisOnly val="1"/>
    <c:dispBlanksAs val="gap"/>
    <c:showDLblsOverMax val="0"/>
    <c:extLst/>
  </c:chart>
  <c:spPr>
    <a:ln>
      <a:noFill/>
    </a:ln>
  </c:spPr>
  <c:txPr>
    <a:bodyPr/>
    <a:lstStyle/>
    <a:p>
      <a:pPr>
        <a:defRPr>
          <a:solidFill>
            <a:schemeClr val="accent5">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[sales_data.xlsx]Sales_by_Salesperson!PivotTable3</c:name>
    <c:fmtId val="2"/>
  </c:pivotSource>
  <c:chart>
    <c:title>
      <c:tx>
        <c:rich>
          <a:bodyPr rot="0" spcFirstLastPara="1" vertOverflow="ellipsis" vert="horz" wrap="square" anchor="ctr" anchorCtr="1"/>
          <a:lstStyle/>
          <a:p>
            <a:pPr>
              <a:defRPr sz="1800" b="1" i="0" u="none" strike="noStrike" kern="1200" spc="0" baseline="0">
                <a:solidFill>
                  <a:schemeClr val="accent5">
                    <a:lumMod val="75000"/>
                  </a:schemeClr>
                </a:solidFill>
                <a:latin typeface="+mn-lt"/>
                <a:ea typeface="+mn-ea"/>
                <a:cs typeface="+mn-cs"/>
              </a:defRPr>
            </a:pPr>
            <a:r>
              <a:rPr lang="en-IN" sz="1800" b="1"/>
              <a:t>Sales Contribution by Salesperson</a:t>
            </a:r>
          </a:p>
        </c:rich>
      </c:tx>
      <c:layout>
        <c:manualLayout>
          <c:xMode val="edge"/>
          <c:yMode val="edge"/>
          <c:x val="5.729918307808303E-2"/>
          <c:y val="0.19133032578130943"/>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accent5">
                  <a:lumMod val="7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Sales_by_Salesperson!$B$3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14-446D-9E8D-39B87F6D23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14-446D-9E8D-39B87F6D23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614-446D-9E8D-39B87F6D23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614-446D-9E8D-39B87F6D2399}"/>
              </c:ext>
            </c:extLst>
          </c:dPt>
          <c:cat>
            <c:strRef>
              <c:f>Sales_by_Salesperson!$A$4:$A$8</c:f>
              <c:strCache>
                <c:ptCount val="4"/>
                <c:pt idx="0">
                  <c:v>Arjun</c:v>
                </c:pt>
                <c:pt idx="1">
                  <c:v>Priya</c:v>
                </c:pt>
                <c:pt idx="2">
                  <c:v>Rahul</c:v>
                </c:pt>
                <c:pt idx="3">
                  <c:v>Sneha</c:v>
                </c:pt>
              </c:strCache>
            </c:strRef>
          </c:cat>
          <c:val>
            <c:numRef>
              <c:f>Sales_by_Salesperson!$B$4:$B$8</c:f>
              <c:numCache>
                <c:formatCode>General</c:formatCode>
                <c:ptCount val="4"/>
                <c:pt idx="0">
                  <c:v>685000</c:v>
                </c:pt>
                <c:pt idx="1">
                  <c:v>1080000</c:v>
                </c:pt>
                <c:pt idx="2">
                  <c:v>1110000</c:v>
                </c:pt>
                <c:pt idx="3">
                  <c:v>910000</c:v>
                </c:pt>
              </c:numCache>
            </c:numRef>
          </c:val>
          <c:extLst>
            <c:ext xmlns:c16="http://schemas.microsoft.com/office/drawing/2014/chart" uri="{C3380CC4-5D6E-409C-BE32-E72D297353CC}">
              <c16:uniqueId val="{00000008-A614-446D-9E8D-39B87F6D239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noFill/>
      <a:round/>
    </a:ln>
    <a:effectLst/>
  </c:spPr>
  <c:txPr>
    <a:bodyPr/>
    <a:lstStyle/>
    <a:p>
      <a:pPr>
        <a:defRPr>
          <a:solidFill>
            <a:schemeClr val="accent5">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[sales_data.xlsx]Monthly_sales!PivotTable5</c:name>
    <c:fmtId val="2"/>
  </c:pivotSource>
  <c:chart>
    <c:title>
      <c:tx>
        <c:rich>
          <a:bodyPr rot="0" spcFirstLastPara="1" vertOverflow="ellipsis" vert="horz" wrap="square" anchor="ctr" anchorCtr="1"/>
          <a:lstStyle/>
          <a:p>
            <a:pPr>
              <a:defRPr sz="1800" b="1" i="0" u="none" strike="noStrike" kern="1200" spc="0" baseline="0">
                <a:solidFill>
                  <a:schemeClr val="accent5">
                    <a:lumMod val="75000"/>
                  </a:schemeClr>
                </a:solidFill>
                <a:latin typeface="+mn-lt"/>
                <a:ea typeface="+mn-ea"/>
                <a:cs typeface="+mn-cs"/>
              </a:defRPr>
            </a:pPr>
            <a:r>
              <a:rPr lang="en-US" sz="1800" b="1"/>
              <a:t>Monthly Sales Trend</a:t>
            </a:r>
          </a:p>
          <a:p>
            <a:pPr>
              <a:defRPr sz="1800" b="1"/>
            </a:pP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097744729274E-2"/>
          <c:y val="0.32485264744900533"/>
          <c:w val="0.93888890225527077"/>
          <c:h val="0.58940760713109186"/>
        </c:manualLayout>
      </c:layout>
      <c:lineChart>
        <c:grouping val="standard"/>
        <c:varyColors val="0"/>
        <c:ser>
          <c:idx val="0"/>
          <c:order val="0"/>
          <c:tx>
            <c:strRef>
              <c:f>Monthly_sales!$B$3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Monthly_sales!$A$4:$A$6</c:f>
              <c:strCache>
                <c:ptCount val="2"/>
                <c:pt idx="0">
                  <c:v>Jan</c:v>
                </c:pt>
                <c:pt idx="1">
                  <c:v>Feb</c:v>
                </c:pt>
              </c:strCache>
            </c:strRef>
          </c:cat>
          <c:val>
            <c:numRef>
              <c:f>Monthly_sales!$B$4:$B$6</c:f>
              <c:numCache>
                <c:formatCode>General</c:formatCode>
                <c:ptCount val="2"/>
                <c:pt idx="0">
                  <c:v>2525000</c:v>
                </c:pt>
                <c:pt idx="1">
                  <c:v>1260000</c:v>
                </c:pt>
              </c:numCache>
            </c:numRef>
          </c:val>
          <c:smooth val="0"/>
          <c:extLst>
            <c:ext xmlns:c16="http://schemas.microsoft.com/office/drawing/2014/chart" uri="{C3380CC4-5D6E-409C-BE32-E72D297353CC}">
              <c16:uniqueId val="{00000000-6932-4D7A-9F2B-41239480C364}"/>
            </c:ext>
          </c:extLst>
        </c:ser>
        <c:dLbls>
          <c:dLblPos val="t"/>
          <c:showLegendKey val="0"/>
          <c:showVal val="1"/>
          <c:showCatName val="0"/>
          <c:showSerName val="0"/>
          <c:showPercent val="0"/>
          <c:showBubbleSize val="0"/>
        </c:dLbls>
        <c:smooth val="0"/>
        <c:axId val="137450383"/>
        <c:axId val="137450863"/>
      </c:lineChart>
      <c:catAx>
        <c:axId val="13745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137450863"/>
        <c:crosses val="autoZero"/>
        <c:auto val="1"/>
        <c:lblAlgn val="ctr"/>
        <c:lblOffset val="100"/>
        <c:noMultiLvlLbl val="0"/>
      </c:catAx>
      <c:valAx>
        <c:axId val="137450863"/>
        <c:scaling>
          <c:orientation val="minMax"/>
        </c:scaling>
        <c:delete val="1"/>
        <c:axPos val="l"/>
        <c:numFmt formatCode="General" sourceLinked="1"/>
        <c:majorTickMark val="none"/>
        <c:minorTickMark val="none"/>
        <c:tickLblPos val="nextTo"/>
        <c:crossAx val="137450383"/>
        <c:crosses val="autoZero"/>
        <c:crossBetween val="between"/>
      </c:valAx>
      <c:spPr>
        <a:solidFill>
          <a:schemeClr val="accent5">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accent5">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495300</xdr:colOff>
      <xdr:row>6</xdr:row>
      <xdr:rowOff>41910</xdr:rowOff>
    </xdr:from>
    <xdr:to>
      <xdr:col>11</xdr:col>
      <xdr:colOff>190500</xdr:colOff>
      <xdr:row>21</xdr:row>
      <xdr:rowOff>41910</xdr:rowOff>
    </xdr:to>
    <xdr:graphicFrame macro="">
      <xdr:nvGraphicFramePr>
        <xdr:cNvPr id="2" name="Chart 1">
          <a:extLst>
            <a:ext uri="{FF2B5EF4-FFF2-40B4-BE49-F238E27FC236}">
              <a16:creationId xmlns:a16="http://schemas.microsoft.com/office/drawing/2014/main" id="{652F9C2F-888D-ACC4-5057-4E3E60B543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6</xdr:row>
      <xdr:rowOff>41910</xdr:rowOff>
    </xdr:from>
    <xdr:to>
      <xdr:col>11</xdr:col>
      <xdr:colOff>312420</xdr:colOff>
      <xdr:row>21</xdr:row>
      <xdr:rowOff>41910</xdr:rowOff>
    </xdr:to>
    <xdr:graphicFrame macro="">
      <xdr:nvGraphicFramePr>
        <xdr:cNvPr id="2" name="Chart 1">
          <a:extLst>
            <a:ext uri="{FF2B5EF4-FFF2-40B4-BE49-F238E27FC236}">
              <a16:creationId xmlns:a16="http://schemas.microsoft.com/office/drawing/2014/main" id="{E1B51C42-135A-155A-B0FC-063AB46E92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xdr:colOff>
      <xdr:row>6</xdr:row>
      <xdr:rowOff>41910</xdr:rowOff>
    </xdr:from>
    <xdr:to>
      <xdr:col>11</xdr:col>
      <xdr:colOff>312420</xdr:colOff>
      <xdr:row>21</xdr:row>
      <xdr:rowOff>41910</xdr:rowOff>
    </xdr:to>
    <xdr:graphicFrame macro="">
      <xdr:nvGraphicFramePr>
        <xdr:cNvPr id="2" name="Chart 1">
          <a:extLst>
            <a:ext uri="{FF2B5EF4-FFF2-40B4-BE49-F238E27FC236}">
              <a16:creationId xmlns:a16="http://schemas.microsoft.com/office/drawing/2014/main" id="{F495C081-A3F9-D14B-2AB3-EC2BFC86EC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419100</xdr:colOff>
      <xdr:row>4</xdr:row>
      <xdr:rowOff>76200</xdr:rowOff>
    </xdr:from>
    <xdr:to>
      <xdr:col>8</xdr:col>
      <xdr:colOff>419100</xdr:colOff>
      <xdr:row>17</xdr:row>
      <xdr:rowOff>165735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A16251B6-2BB9-E706-71D9-2AC490BE96A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274820" y="807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289560</xdr:colOff>
      <xdr:row>7</xdr:row>
      <xdr:rowOff>7620</xdr:rowOff>
    </xdr:from>
    <xdr:to>
      <xdr:col>9</xdr:col>
      <xdr:colOff>289560</xdr:colOff>
      <xdr:row>20</xdr:row>
      <xdr:rowOff>97155</xdr:rowOff>
    </xdr:to>
    <mc:AlternateContent xmlns:mc="http://schemas.openxmlformats.org/markup-compatibility/2006">
      <mc:Choice xmlns:a14="http://schemas.microsoft.com/office/drawing/2010/main" Requires="a14">
        <xdr:graphicFrame macro="">
          <xdr:nvGraphicFramePr>
            <xdr:cNvPr id="4" name="Salesperson">
              <a:extLst>
                <a:ext uri="{FF2B5EF4-FFF2-40B4-BE49-F238E27FC236}">
                  <a16:creationId xmlns:a16="http://schemas.microsoft.com/office/drawing/2014/main" id="{C7BF4363-6165-9AA9-470C-6B047651642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475488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160020</xdr:colOff>
      <xdr:row>9</xdr:row>
      <xdr:rowOff>121920</xdr:rowOff>
    </xdr:from>
    <xdr:to>
      <xdr:col>10</xdr:col>
      <xdr:colOff>160020</xdr:colOff>
      <xdr:row>23</xdr:row>
      <xdr:rowOff>28575</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5388EDC6-A176-BB4C-8D2B-00F73B59511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234940" y="1767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1104900</xdr:colOff>
      <xdr:row>6</xdr:row>
      <xdr:rowOff>41910</xdr:rowOff>
    </xdr:from>
    <xdr:to>
      <xdr:col>10</xdr:col>
      <xdr:colOff>243840</xdr:colOff>
      <xdr:row>21</xdr:row>
      <xdr:rowOff>41910</xdr:rowOff>
    </xdr:to>
    <xdr:graphicFrame macro="">
      <xdr:nvGraphicFramePr>
        <xdr:cNvPr id="2" name="Chart 1">
          <a:extLst>
            <a:ext uri="{FF2B5EF4-FFF2-40B4-BE49-F238E27FC236}">
              <a16:creationId xmlns:a16="http://schemas.microsoft.com/office/drawing/2014/main" id="{43F6AF81-039D-120A-BA3A-124D787E63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531971</xdr:colOff>
      <xdr:row>13</xdr:row>
      <xdr:rowOff>34290</xdr:rowOff>
    </xdr:from>
    <xdr:to>
      <xdr:col>8</xdr:col>
      <xdr:colOff>229552</xdr:colOff>
      <xdr:row>28</xdr:row>
      <xdr:rowOff>34291</xdr:rowOff>
    </xdr:to>
    <xdr:graphicFrame macro="">
      <xdr:nvGraphicFramePr>
        <xdr:cNvPr id="2" name="Chart 1">
          <a:extLst>
            <a:ext uri="{FF2B5EF4-FFF2-40B4-BE49-F238E27FC236}">
              <a16:creationId xmlns:a16="http://schemas.microsoft.com/office/drawing/2014/main" id="{874EEF8C-8FC9-4B3A-90B4-02B00575A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238126</xdr:colOff>
      <xdr:row>28</xdr:row>
      <xdr:rowOff>35719</xdr:rowOff>
    </xdr:from>
    <xdr:to>
      <xdr:col>16</xdr:col>
      <xdr:colOff>1</xdr:colOff>
      <xdr:row>43</xdr:row>
      <xdr:rowOff>130969</xdr:rowOff>
    </xdr:to>
    <xdr:graphicFrame macro="">
      <xdr:nvGraphicFramePr>
        <xdr:cNvPr id="3" name="Chart 2">
          <a:extLst>
            <a:ext uri="{FF2B5EF4-FFF2-40B4-BE49-F238E27FC236}">
              <a16:creationId xmlns:a16="http://schemas.microsoft.com/office/drawing/2014/main" id="{C70AAFB9-1DF8-4758-A289-1B3A60DD9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226218</xdr:colOff>
      <xdr:row>13</xdr:row>
      <xdr:rowOff>35718</xdr:rowOff>
    </xdr:from>
    <xdr:to>
      <xdr:col>16</xdr:col>
      <xdr:colOff>0</xdr:colOff>
      <xdr:row>28</xdr:row>
      <xdr:rowOff>11906</xdr:rowOff>
    </xdr:to>
    <xdr:graphicFrame macro="">
      <xdr:nvGraphicFramePr>
        <xdr:cNvPr id="4" name="Chart 3">
          <a:extLst>
            <a:ext uri="{FF2B5EF4-FFF2-40B4-BE49-F238E27FC236}">
              <a16:creationId xmlns:a16="http://schemas.microsoft.com/office/drawing/2014/main" id="{5B5B233B-7FB1-4503-9ECF-C9F8DDF9A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511969</xdr:colOff>
      <xdr:row>28</xdr:row>
      <xdr:rowOff>35720</xdr:rowOff>
    </xdr:from>
    <xdr:to>
      <xdr:col>8</xdr:col>
      <xdr:colOff>226220</xdr:colOff>
      <xdr:row>43</xdr:row>
      <xdr:rowOff>52390</xdr:rowOff>
    </xdr:to>
    <xdr:graphicFrame macro="">
      <xdr:nvGraphicFramePr>
        <xdr:cNvPr id="5" name="Chart 4">
          <a:extLst>
            <a:ext uri="{FF2B5EF4-FFF2-40B4-BE49-F238E27FC236}">
              <a16:creationId xmlns:a16="http://schemas.microsoft.com/office/drawing/2014/main" id="{C122A9AA-09A4-47A9-977C-7CA932D65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119062</xdr:colOff>
      <xdr:row>2</xdr:row>
      <xdr:rowOff>166688</xdr:rowOff>
    </xdr:from>
    <xdr:to>
      <xdr:col>10</xdr:col>
      <xdr:colOff>50213</xdr:colOff>
      <xdr:row>8</xdr:row>
      <xdr:rowOff>83344</xdr:rowOff>
    </xdr:to>
    <mc:AlternateContent xmlns:mc="http://schemas.openxmlformats.org/markup-compatibility/2006">
      <mc:Choice xmlns:a14="http://schemas.microsoft.com/office/drawing/2010/main" Requires="a14">
        <xdr:graphicFrame macro="">
          <xdr:nvGraphicFramePr>
            <xdr:cNvPr id="6" name="Product 1">
              <a:extLst>
                <a:ext uri="{FF2B5EF4-FFF2-40B4-BE49-F238E27FC236}">
                  <a16:creationId xmlns:a16="http://schemas.microsoft.com/office/drawing/2014/main" id="{E3B65D62-3469-46A0-A76C-29C16AC8C8C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3762375" y="523876"/>
              <a:ext cx="2360026" cy="988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440530</xdr:colOff>
      <xdr:row>3</xdr:row>
      <xdr:rowOff>1</xdr:rowOff>
    </xdr:from>
    <xdr:to>
      <xdr:col>14</xdr:col>
      <xdr:colOff>371681</xdr:colOff>
      <xdr:row>8</xdr:row>
      <xdr:rowOff>59532</xdr:rowOff>
    </xdr:to>
    <mc:AlternateContent xmlns:mc="http://schemas.openxmlformats.org/markup-compatibility/2006">
      <mc:Choice xmlns:a14="http://schemas.microsoft.com/office/drawing/2010/main" Requires="a14">
        <xdr:graphicFrame macro="">
          <xdr:nvGraphicFramePr>
            <xdr:cNvPr id="7" name="Salesperson 1">
              <a:extLst>
                <a:ext uri="{FF2B5EF4-FFF2-40B4-BE49-F238E27FC236}">
                  <a16:creationId xmlns:a16="http://schemas.microsoft.com/office/drawing/2014/main" id="{A7037EAD-D2C5-49CD-A19F-D0B80F9A6194}"/>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6512718" y="535782"/>
              <a:ext cx="2360026"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309563</xdr:colOff>
      <xdr:row>3</xdr:row>
      <xdr:rowOff>23813</xdr:rowOff>
    </xdr:from>
    <xdr:to>
      <xdr:col>5</xdr:col>
      <xdr:colOff>168714</xdr:colOff>
      <xdr:row>8</xdr:row>
      <xdr:rowOff>119063</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DF311F26-C649-40AC-98F4-BCCD8CB2A6C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16782" y="559594"/>
              <a:ext cx="2288026" cy="988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 Priya" refreshedDate="46097.66968796296" createdVersion="8" refreshedVersion="8" minRefreshableVersion="3" recordCount="50" xr:uid="{C08C02BE-9181-446D-A932-393D3BA7DD9C}">
  <cacheSource type="worksheet">
    <worksheetSource name="Table1"/>
  </cacheSource>
  <cacheFields count="10">
    <cacheField name="Order_ID" numFmtId="0">
      <sharedItems containsSemiMixedTypes="0" containsString="0" containsNumber="1" containsInteger="1" minValue="1001" maxValue="1050"/>
    </cacheField>
    <cacheField name="Date" numFmtId="14">
      <sharedItems containsSemiMixedTypes="0" containsNonDate="0" containsDate="1" containsString="0" minDate="2024-01-01T00:00:00" maxDate="2024-02-20T00:00:00" count="5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sharedItems>
      <fieldGroup par="9"/>
    </cacheField>
    <cacheField name="Region" numFmtId="0">
      <sharedItems count="4">
        <s v="south"/>
        <s v="North"/>
        <s v="West"/>
        <s v="East"/>
      </sharedItems>
    </cacheField>
    <cacheField name="Salesperson" numFmtId="0">
      <sharedItems count="4">
        <s v="Rahul"/>
        <s v="Priya"/>
        <s v="Arjun"/>
        <s v="Sneha"/>
      </sharedItems>
    </cacheField>
    <cacheField name="Product" numFmtId="0">
      <sharedItems count="3">
        <s v="Laptop"/>
        <s v="Mobile"/>
        <s v="Tablet"/>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15000" maxValue="50000"/>
    </cacheField>
    <cacheField name="Total_Sales" numFmtId="0">
      <sharedItems containsString="0" containsBlank="1" containsNumber="1" containsInteger="1" minValue="15000" maxValue="250000"/>
    </cacheField>
    <cacheField name="Days (Date)" numFmtId="0" databaseField="0">
      <fieldGroup base="1">
        <rangePr groupBy="days" startDate="2024-01-01T00:00:00" endDate="2024-02-20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02-2024"/>
        </groupItems>
      </fieldGroup>
    </cacheField>
    <cacheField name="Months (Date)" numFmtId="0" databaseField="0">
      <fieldGroup base="1">
        <rangePr groupBy="months" startDate="2024-01-01T00:00:00" endDate="2024-02-20T00:00:00"/>
        <groupItems count="14">
          <s v="&lt;01-01-2024"/>
          <s v="Jan"/>
          <s v="Feb"/>
          <s v="Mar"/>
          <s v="Apr"/>
          <s v="May"/>
          <s v="Jun"/>
          <s v="Jul"/>
          <s v="Aug"/>
          <s v="Sep"/>
          <s v="Oct"/>
          <s v="Nov"/>
          <s v="Dec"/>
          <s v="&gt;20-02-2024"/>
        </groupItems>
      </fieldGroup>
    </cacheField>
  </cacheFields>
  <extLst>
    <ext xmlns:x14="http://schemas.microsoft.com/office/spreadsheetml/2009/9/main" uri="{725AE2AE-9491-48be-B2B4-4EB974FC3084}">
      <x14:pivotCacheDefinition pivotCacheId="13021949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1"/>
    <x v="0"/>
    <x v="0"/>
    <x v="0"/>
    <x v="0"/>
    <n v="2"/>
    <n v="50000"/>
    <n v="100000"/>
  </r>
  <r>
    <n v="1002"/>
    <x v="1"/>
    <x v="1"/>
    <x v="1"/>
    <x v="1"/>
    <n v="5"/>
    <n v="20000"/>
    <n v="100000"/>
  </r>
  <r>
    <n v="1003"/>
    <x v="2"/>
    <x v="2"/>
    <x v="2"/>
    <x v="2"/>
    <n v="3"/>
    <n v="15000"/>
    <n v="45000"/>
  </r>
  <r>
    <n v="1004"/>
    <x v="3"/>
    <x v="3"/>
    <x v="3"/>
    <x v="0"/>
    <n v="1"/>
    <n v="50000"/>
    <n v="50000"/>
  </r>
  <r>
    <n v="1005"/>
    <x v="4"/>
    <x v="0"/>
    <x v="0"/>
    <x v="1"/>
    <n v="4"/>
    <n v="20000"/>
    <n v="80000"/>
  </r>
  <r>
    <n v="1006"/>
    <x v="5"/>
    <x v="1"/>
    <x v="1"/>
    <x v="2"/>
    <n v="1"/>
    <n v="15000"/>
    <n v="15000"/>
  </r>
  <r>
    <n v="1007"/>
    <x v="6"/>
    <x v="2"/>
    <x v="2"/>
    <x v="0"/>
    <n v="2"/>
    <n v="50000"/>
    <n v="100000"/>
  </r>
  <r>
    <n v="1008"/>
    <x v="7"/>
    <x v="3"/>
    <x v="3"/>
    <x v="1"/>
    <n v="3"/>
    <n v="20000"/>
    <n v="60000"/>
  </r>
  <r>
    <n v="1009"/>
    <x v="8"/>
    <x v="0"/>
    <x v="0"/>
    <x v="2"/>
    <n v="4"/>
    <n v="15000"/>
    <n v="60000"/>
  </r>
  <r>
    <n v="1010"/>
    <x v="9"/>
    <x v="1"/>
    <x v="1"/>
    <x v="0"/>
    <n v="5"/>
    <n v="50000"/>
    <n v="250000"/>
  </r>
  <r>
    <n v="1011"/>
    <x v="10"/>
    <x v="2"/>
    <x v="2"/>
    <x v="1"/>
    <n v="5"/>
    <n v="20000"/>
    <n v="100000"/>
  </r>
  <r>
    <n v="1012"/>
    <x v="11"/>
    <x v="3"/>
    <x v="3"/>
    <x v="0"/>
    <n v="4"/>
    <n v="15000"/>
    <n v="60000"/>
  </r>
  <r>
    <n v="1013"/>
    <x v="12"/>
    <x v="0"/>
    <x v="0"/>
    <x v="1"/>
    <n v="3"/>
    <n v="50000"/>
    <n v="150000"/>
  </r>
  <r>
    <n v="1014"/>
    <x v="13"/>
    <x v="1"/>
    <x v="1"/>
    <x v="2"/>
    <n v="2"/>
    <n v="15000"/>
    <n v="30000"/>
  </r>
  <r>
    <n v="1015"/>
    <x v="14"/>
    <x v="2"/>
    <x v="2"/>
    <x v="0"/>
    <n v="1"/>
    <n v="20000"/>
    <n v="20000"/>
  </r>
  <r>
    <n v="1016"/>
    <x v="15"/>
    <x v="3"/>
    <x v="3"/>
    <x v="1"/>
    <n v="2"/>
    <n v="50000"/>
    <n v="100000"/>
  </r>
  <r>
    <n v="1017"/>
    <x v="16"/>
    <x v="0"/>
    <x v="0"/>
    <x v="2"/>
    <n v="4"/>
    <n v="20000"/>
    <n v="80000"/>
  </r>
  <r>
    <n v="1018"/>
    <x v="17"/>
    <x v="1"/>
    <x v="1"/>
    <x v="0"/>
    <n v="5"/>
    <n v="15000"/>
    <n v="75000"/>
  </r>
  <r>
    <n v="1019"/>
    <x v="18"/>
    <x v="2"/>
    <x v="2"/>
    <x v="1"/>
    <n v="1"/>
    <n v="20000"/>
    <n v="20000"/>
  </r>
  <r>
    <n v="1020"/>
    <x v="19"/>
    <x v="3"/>
    <x v="3"/>
    <x v="2"/>
    <n v="3"/>
    <n v="50000"/>
    <n v="150000"/>
  </r>
  <r>
    <n v="1021"/>
    <x v="20"/>
    <x v="0"/>
    <x v="0"/>
    <x v="0"/>
    <n v="4"/>
    <n v="15000"/>
    <n v="60000"/>
  </r>
  <r>
    <n v="1022"/>
    <x v="21"/>
    <x v="1"/>
    <x v="1"/>
    <x v="1"/>
    <n v="5"/>
    <n v="50000"/>
    <n v="250000"/>
  </r>
  <r>
    <n v="1023"/>
    <x v="22"/>
    <x v="2"/>
    <x v="2"/>
    <x v="0"/>
    <n v="3"/>
    <n v="20000"/>
    <n v="60000"/>
  </r>
  <r>
    <n v="1024"/>
    <x v="23"/>
    <x v="3"/>
    <x v="3"/>
    <x v="0"/>
    <n v="1"/>
    <n v="15000"/>
    <n v="15000"/>
  </r>
  <r>
    <n v="1025"/>
    <x v="24"/>
    <x v="0"/>
    <x v="0"/>
    <x v="1"/>
    <n v="2"/>
    <n v="20000"/>
    <n v="40000"/>
  </r>
  <r>
    <n v="1026"/>
    <x v="25"/>
    <x v="1"/>
    <x v="1"/>
    <x v="2"/>
    <n v="4"/>
    <n v="15000"/>
    <n v="60000"/>
  </r>
  <r>
    <n v="1027"/>
    <x v="26"/>
    <x v="2"/>
    <x v="2"/>
    <x v="0"/>
    <n v="5"/>
    <n v="20000"/>
    <n v="100000"/>
  </r>
  <r>
    <n v="1028"/>
    <x v="27"/>
    <x v="3"/>
    <x v="3"/>
    <x v="1"/>
    <n v="1"/>
    <n v="15000"/>
    <n v="15000"/>
  </r>
  <r>
    <n v="1029"/>
    <x v="28"/>
    <x v="0"/>
    <x v="0"/>
    <x v="2"/>
    <n v="3"/>
    <n v="50000"/>
    <n v="150000"/>
  </r>
  <r>
    <n v="1030"/>
    <x v="29"/>
    <x v="1"/>
    <x v="1"/>
    <x v="0"/>
    <n v="2"/>
    <n v="15000"/>
    <n v="30000"/>
  </r>
  <r>
    <n v="1031"/>
    <x v="30"/>
    <x v="2"/>
    <x v="2"/>
    <x v="1"/>
    <n v="5"/>
    <n v="20000"/>
    <n v="100000"/>
  </r>
  <r>
    <n v="1032"/>
    <x v="31"/>
    <x v="3"/>
    <x v="3"/>
    <x v="2"/>
    <n v="4"/>
    <n v="15000"/>
    <n v="60000"/>
  </r>
  <r>
    <n v="1033"/>
    <x v="32"/>
    <x v="0"/>
    <x v="0"/>
    <x v="0"/>
    <n v="1"/>
    <n v="50000"/>
    <n v="50000"/>
  </r>
  <r>
    <n v="1034"/>
    <x v="33"/>
    <x v="1"/>
    <x v="1"/>
    <x v="1"/>
    <n v="2"/>
    <n v="15000"/>
    <n v="30000"/>
  </r>
  <r>
    <n v="1035"/>
    <x v="34"/>
    <x v="2"/>
    <x v="2"/>
    <x v="0"/>
    <n v="3"/>
    <n v="20000"/>
    <n v="60000"/>
  </r>
  <r>
    <n v="1036"/>
    <x v="35"/>
    <x v="3"/>
    <x v="3"/>
    <x v="1"/>
    <n v="4"/>
    <n v="15000"/>
    <n v="60000"/>
  </r>
  <r>
    <n v="1037"/>
    <x v="36"/>
    <x v="0"/>
    <x v="0"/>
    <x v="2"/>
    <n v="5"/>
    <n v="20000"/>
    <n v="100000"/>
  </r>
  <r>
    <n v="1038"/>
    <x v="37"/>
    <x v="1"/>
    <x v="1"/>
    <x v="0"/>
    <n v="3"/>
    <n v="50000"/>
    <n v="150000"/>
  </r>
  <r>
    <n v="1039"/>
    <x v="38"/>
    <x v="2"/>
    <x v="2"/>
    <x v="0"/>
    <n v="1"/>
    <n v="20000"/>
    <n v="20000"/>
  </r>
  <r>
    <n v="1040"/>
    <x v="39"/>
    <x v="3"/>
    <x v="3"/>
    <x v="1"/>
    <n v="2"/>
    <n v="15000"/>
    <n v="30000"/>
  </r>
  <r>
    <n v="1041"/>
    <x v="40"/>
    <x v="0"/>
    <x v="0"/>
    <x v="2"/>
    <n v="5"/>
    <n v="20000"/>
    <n v="100000"/>
  </r>
  <r>
    <n v="1042"/>
    <x v="41"/>
    <x v="1"/>
    <x v="1"/>
    <x v="0"/>
    <n v="3"/>
    <n v="15000"/>
    <n v="45000"/>
  </r>
  <r>
    <n v="1043"/>
    <x v="42"/>
    <x v="2"/>
    <x v="2"/>
    <x v="1"/>
    <n v="2"/>
    <n v="20000"/>
    <n v="40000"/>
  </r>
  <r>
    <n v="1044"/>
    <x v="43"/>
    <x v="3"/>
    <x v="3"/>
    <x v="2"/>
    <n v="4"/>
    <n v="15000"/>
    <n v="60000"/>
  </r>
  <r>
    <n v="1045"/>
    <x v="44"/>
    <x v="0"/>
    <x v="0"/>
    <x v="0"/>
    <n v="2"/>
    <n v="50000"/>
    <n v="100000"/>
  </r>
  <r>
    <n v="1046"/>
    <x v="45"/>
    <x v="1"/>
    <x v="1"/>
    <x v="1"/>
    <n v="3"/>
    <n v="15000"/>
    <n v="45000"/>
  </r>
  <r>
    <n v="1047"/>
    <x v="46"/>
    <x v="2"/>
    <x v="2"/>
    <x v="2"/>
    <n v="1"/>
    <n v="20000"/>
    <n v="20000"/>
  </r>
  <r>
    <n v="1048"/>
    <x v="47"/>
    <x v="3"/>
    <x v="3"/>
    <x v="0"/>
    <n v="5"/>
    <n v="50000"/>
    <n v="250000"/>
  </r>
  <r>
    <n v="1049"/>
    <x v="48"/>
    <x v="0"/>
    <x v="0"/>
    <x v="1"/>
    <n v="2"/>
    <n v="20000"/>
    <n v="40000"/>
  </r>
  <r>
    <n v="1050"/>
    <x v="49"/>
    <x v="1"/>
    <x v="1"/>
    <x v="0"/>
    <n v="3"/>
    <n v="150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EA4AD4-5B2E-48A8-BF8D-2CE9777E44D3}"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0">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5">
        <item x="3"/>
        <item x="1"/>
        <item x="0"/>
        <item x="2"/>
        <item t="default"/>
      </items>
    </pivotField>
    <pivotField showAll="0"/>
    <pivotField showAll="0">
      <items count="4">
        <item x="0"/>
        <item x="1"/>
        <item x="2"/>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_Sales"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61141A-A99E-4A1B-9243-D1DAF98C4B2B}"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0">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axis="axisRow" showAll="0">
      <items count="4">
        <item x="0"/>
        <item x="1"/>
        <item x="2"/>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Sum of Total_Sales" fld="7" baseField="0" baseItem="0"/>
  </dataFields>
  <chartFormats count="5">
    <chartFormat chart="0" format="3"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2"/>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B2A087-E2BC-4426-92ED-2CFC9E90DFAE}"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0">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
        <item x="3"/>
        <item x="1"/>
        <item x="0"/>
        <item x="2"/>
        <item t="default"/>
      </items>
    </pivotField>
    <pivotField axis="axisRow" showAll="0">
      <items count="5">
        <item x="2"/>
        <item x="1"/>
        <item x="0"/>
        <item x="3"/>
        <item t="default"/>
      </items>
    </pivotField>
    <pivotField showAll="0">
      <items count="4">
        <item x="0"/>
        <item x="1"/>
        <item x="2"/>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_Sales" fld="7"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3B24CA-04E7-4A19-BD72-F04A3D0D959A}"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0">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items count="4">
        <item x="0"/>
        <item x="1"/>
        <item x="2"/>
        <item t="default"/>
      </items>
    </pivotField>
    <pivotField showAll="0"/>
    <pivotField showAll="0"/>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9"/>
  </rowFields>
  <rowItems count="3">
    <i>
      <x v="1"/>
    </i>
    <i>
      <x v="2"/>
    </i>
    <i t="grand">
      <x/>
    </i>
  </rowItems>
  <colItems count="1">
    <i/>
  </colItems>
  <dataFields count="1">
    <dataField name="Sum of Total_Sales"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27CF984-BD38-48C6-837C-C90759ECA899}" sourceName="Region">
  <pivotTables>
    <pivotTable tabId="4" name="PivotTable3"/>
  </pivotTables>
  <data>
    <tabular pivotCacheId="130219492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685D604-1C95-4588-832B-B217CC437BC0}" sourceName="Salesperson">
  <pivotTables>
    <pivotTable tabId="4" name="PivotTable3"/>
  </pivotTables>
  <data>
    <tabular pivotCacheId="1302194927">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DA76F8C-D2D9-47E6-BDD1-D4E1DD1089A2}" sourceName="Product">
  <pivotTables>
    <pivotTable tabId="4" name="PivotTable3"/>
    <pivotTable tabId="6" name="PivotTable5"/>
    <pivotTable tabId="3" name="PivotTable2"/>
    <pivotTable tabId="2" name="PivotTable1"/>
  </pivotTables>
  <data>
    <tabular pivotCacheId="130219492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3300EF2-1B90-4D36-A1A8-6A8327D2D468}" cache="Slicer_Region" caption="Region" rowHeight="234950"/>
  <slicer name="Salesperson" xr10:uid="{454D1C7F-FC13-44DC-8230-BD61FA8268A6}" cache="Slicer_Salesperson" caption="Salesperson" rowHeight="234950"/>
  <slicer name="Product" xr10:uid="{7C2D8885-F3E6-4220-9EDE-1725D627202D}"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0852864-63F1-410A-B330-E094A1BC995F}" cache="Slicer_Region" caption="Region" columnCount="2" style="SlicerStyleLight5" rowHeight="234950"/>
  <slicer name="Salesperson 1" xr10:uid="{017096D0-30DA-4055-A117-A815DE756F48}" cache="Slicer_Salesperson" caption="Salesperson" columnCount="2" style="SlicerStyleLight5" rowHeight="234950"/>
  <slicer name="Product 1" xr10:uid="{C8875B9E-4191-41B5-A46C-300BE7A3D735}" cache="Slicer_Product" caption="Product" columnCount="2"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7E85EB-8847-42CD-A763-0E02DFF9A6F7}" name="Table1" displayName="Table1" ref="A1:H51" totalsRowShown="0" headerRowDxfId="0">
  <autoFilter ref="A1:H51" xr:uid="{E17E85EB-8847-42CD-A763-0E02DFF9A6F7}"/>
  <tableColumns count="8">
    <tableColumn id="1" xr3:uid="{7F39A95D-8595-4F1B-9424-CE575A0B474B}" name="Order_ID"/>
    <tableColumn id="2" xr3:uid="{CB8B5AA4-8494-4E2D-B9E2-25DD2CF255AE}" name="Date" dataDxfId="1"/>
    <tableColumn id="3" xr3:uid="{BAEBB2B0-22C7-4F05-A414-50D03CB4FCB0}" name="Region"/>
    <tableColumn id="4" xr3:uid="{4E65F9BB-53FD-46AA-BEBF-478246439665}" name="Salesperson"/>
    <tableColumn id="5" xr3:uid="{238A5C43-1AC2-408F-B576-B9CBEF84626F}" name="Product"/>
    <tableColumn id="6" xr3:uid="{6F8CA316-8EC6-40E4-8EF3-DF67676CA3C4}" name="Quantity"/>
    <tableColumn id="7" xr3:uid="{AC69D707-DCB5-4484-AD54-1D47171C0677}" name="Unit_Price"/>
    <tableColumn id="8" xr3:uid="{539524C6-7D40-497F-8F31-E4354D4A7559}" name="Total_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C8EE3-0EB3-4937-9B0C-09FC812691CD}">
  <dimension ref="A3:B8"/>
  <sheetViews>
    <sheetView workbookViewId="0">
      <selection activeCell="B6" sqref="B6"/>
    </sheetView>
  </sheetViews>
  <sheetFormatPr defaultRowHeight="14.4" x14ac:dyDescent="0.3"/>
  <cols>
    <col min="1" max="1" width="12.5546875" bestFit="1" customWidth="1"/>
    <col min="2" max="2" width="17" bestFit="1" customWidth="1"/>
  </cols>
  <sheetData>
    <row r="3" spans="1:2" x14ac:dyDescent="0.3">
      <c r="A3" s="3" t="s">
        <v>19</v>
      </c>
      <c r="B3" t="s">
        <v>21</v>
      </c>
    </row>
    <row r="4" spans="1:2" x14ac:dyDescent="0.3">
      <c r="A4" s="4" t="s">
        <v>11</v>
      </c>
      <c r="B4" s="5">
        <v>910000</v>
      </c>
    </row>
    <row r="5" spans="1:2" x14ac:dyDescent="0.3">
      <c r="A5" s="4" t="s">
        <v>9</v>
      </c>
      <c r="B5" s="5">
        <v>1080000</v>
      </c>
    </row>
    <row r="6" spans="1:2" x14ac:dyDescent="0.3">
      <c r="A6" s="4" t="s">
        <v>8</v>
      </c>
      <c r="B6" s="5">
        <v>1110000</v>
      </c>
    </row>
    <row r="7" spans="1:2" x14ac:dyDescent="0.3">
      <c r="A7" s="4" t="s">
        <v>10</v>
      </c>
      <c r="B7" s="5">
        <v>685000</v>
      </c>
    </row>
    <row r="8" spans="1:2" x14ac:dyDescent="0.3">
      <c r="A8" s="4" t="s">
        <v>20</v>
      </c>
      <c r="B8" s="5">
        <v>3785000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8ABA9-98EF-4848-9510-C189B7A4CF06}">
  <dimension ref="A3:B7"/>
  <sheetViews>
    <sheetView workbookViewId="0">
      <selection activeCell="N21" sqref="N21"/>
    </sheetView>
  </sheetViews>
  <sheetFormatPr defaultRowHeight="14.4" x14ac:dyDescent="0.3"/>
  <cols>
    <col min="1" max="1" width="12.5546875" bestFit="1" customWidth="1"/>
    <col min="2" max="2" width="17" bestFit="1" customWidth="1"/>
  </cols>
  <sheetData>
    <row r="3" spans="1:2" x14ac:dyDescent="0.3">
      <c r="A3" s="3" t="s">
        <v>19</v>
      </c>
      <c r="B3" t="s">
        <v>21</v>
      </c>
    </row>
    <row r="4" spans="1:2" x14ac:dyDescent="0.3">
      <c r="A4" s="4" t="s">
        <v>16</v>
      </c>
      <c r="B4" s="5">
        <v>1595000</v>
      </c>
    </row>
    <row r="5" spans="1:2" x14ac:dyDescent="0.3">
      <c r="A5" s="4" t="s">
        <v>17</v>
      </c>
      <c r="B5" s="5">
        <v>1260000</v>
      </c>
    </row>
    <row r="6" spans="1:2" x14ac:dyDescent="0.3">
      <c r="A6" s="4" t="s">
        <v>18</v>
      </c>
      <c r="B6" s="5">
        <v>930000</v>
      </c>
    </row>
    <row r="7" spans="1:2" x14ac:dyDescent="0.3">
      <c r="A7" s="4" t="s">
        <v>20</v>
      </c>
      <c r="B7" s="5">
        <v>3785000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87D6E-5AB1-4D53-A77F-FFEFD44EBCE5}">
  <dimension ref="A3:B8"/>
  <sheetViews>
    <sheetView workbookViewId="0">
      <selection activeCell="B7" sqref="B7"/>
    </sheetView>
  </sheetViews>
  <sheetFormatPr defaultRowHeight="14.4" x14ac:dyDescent="0.3"/>
  <cols>
    <col min="1" max="1" width="12.5546875" bestFit="1" customWidth="1"/>
    <col min="2" max="2" width="17" bestFit="1" customWidth="1"/>
  </cols>
  <sheetData>
    <row r="3" spans="1:2" x14ac:dyDescent="0.3">
      <c r="A3" s="3" t="s">
        <v>19</v>
      </c>
      <c r="B3" t="s">
        <v>21</v>
      </c>
    </row>
    <row r="4" spans="1:2" x14ac:dyDescent="0.3">
      <c r="A4" s="4" t="s">
        <v>14</v>
      </c>
      <c r="B4" s="5">
        <v>685000</v>
      </c>
    </row>
    <row r="5" spans="1:2" x14ac:dyDescent="0.3">
      <c r="A5" s="4" t="s">
        <v>13</v>
      </c>
      <c r="B5" s="5">
        <v>1080000</v>
      </c>
    </row>
    <row r="6" spans="1:2" x14ac:dyDescent="0.3">
      <c r="A6" s="4" t="s">
        <v>12</v>
      </c>
      <c r="B6" s="5">
        <v>1110000</v>
      </c>
    </row>
    <row r="7" spans="1:2" x14ac:dyDescent="0.3">
      <c r="A7" s="4" t="s">
        <v>15</v>
      </c>
      <c r="B7" s="5">
        <v>910000</v>
      </c>
    </row>
    <row r="8" spans="1:2" x14ac:dyDescent="0.3">
      <c r="A8" s="4" t="s">
        <v>20</v>
      </c>
      <c r="B8" s="5">
        <v>3785000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7A27C-C1B6-4536-9984-ECB9D4B108A0}">
  <dimension ref="A3:B6"/>
  <sheetViews>
    <sheetView workbookViewId="0">
      <selection activeCell="L4" sqref="L4"/>
    </sheetView>
  </sheetViews>
  <sheetFormatPr defaultRowHeight="14.4" x14ac:dyDescent="0.3"/>
  <cols>
    <col min="1" max="1" width="12.5546875" bestFit="1" customWidth="1"/>
    <col min="2" max="3" width="17" bestFit="1" customWidth="1"/>
  </cols>
  <sheetData>
    <row r="3" spans="1:2" x14ac:dyDescent="0.3">
      <c r="A3" s="3" t="s">
        <v>19</v>
      </c>
      <c r="B3" t="s">
        <v>21</v>
      </c>
    </row>
    <row r="4" spans="1:2" x14ac:dyDescent="0.3">
      <c r="A4" s="4" t="s">
        <v>22</v>
      </c>
      <c r="B4" s="5">
        <v>2525000</v>
      </c>
    </row>
    <row r="5" spans="1:2" x14ac:dyDescent="0.3">
      <c r="A5" s="4" t="s">
        <v>23</v>
      </c>
      <c r="B5" s="5">
        <v>1260000</v>
      </c>
    </row>
    <row r="6" spans="1:2" x14ac:dyDescent="0.3">
      <c r="A6" s="4" t="s">
        <v>20</v>
      </c>
      <c r="B6" s="5">
        <v>3785000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97D66-861F-4281-B309-96333C7072C4}">
  <dimension ref="A1:H51"/>
  <sheetViews>
    <sheetView topLeftCell="A2" workbookViewId="0">
      <selection activeCell="C5" sqref="A2:H51"/>
    </sheetView>
  </sheetViews>
  <sheetFormatPr defaultRowHeight="14.4" x14ac:dyDescent="0.3"/>
  <cols>
    <col min="1" max="1" width="10.44140625" customWidth="1"/>
    <col min="2" max="2" width="11.33203125" customWidth="1"/>
    <col min="3" max="3" width="11.109375" customWidth="1"/>
    <col min="4" max="4" width="12.88671875" customWidth="1"/>
    <col min="5" max="5" width="9.5546875" customWidth="1"/>
    <col min="6" max="6" width="10.21875" customWidth="1"/>
    <col min="7" max="7" width="11.5546875" customWidth="1"/>
    <col min="8" max="8" width="12.33203125" customWidth="1"/>
  </cols>
  <sheetData>
    <row r="1" spans="1:8" x14ac:dyDescent="0.3">
      <c r="A1" s="1" t="s">
        <v>0</v>
      </c>
      <c r="B1" s="1" t="s">
        <v>1</v>
      </c>
      <c r="C1" s="1" t="s">
        <v>2</v>
      </c>
      <c r="D1" s="1" t="s">
        <v>3</v>
      </c>
      <c r="E1" s="1" t="s">
        <v>4</v>
      </c>
      <c r="F1" s="1" t="s">
        <v>5</v>
      </c>
      <c r="G1" s="1" t="s">
        <v>6</v>
      </c>
      <c r="H1" s="1" t="s">
        <v>7</v>
      </c>
    </row>
    <row r="2" spans="1:8" x14ac:dyDescent="0.3">
      <c r="A2">
        <v>1001</v>
      </c>
      <c r="B2" s="2">
        <v>45292</v>
      </c>
      <c r="C2" t="s">
        <v>8</v>
      </c>
      <c r="D2" t="s">
        <v>12</v>
      </c>
      <c r="E2" t="s">
        <v>16</v>
      </c>
      <c r="F2">
        <v>2</v>
      </c>
      <c r="G2">
        <v>50000</v>
      </c>
      <c r="H2">
        <f>F2*G2</f>
        <v>100000</v>
      </c>
    </row>
    <row r="3" spans="1:8" x14ac:dyDescent="0.3">
      <c r="A3">
        <v>1002</v>
      </c>
      <c r="B3" s="2">
        <v>45293</v>
      </c>
      <c r="C3" t="s">
        <v>9</v>
      </c>
      <c r="D3" t="s">
        <v>13</v>
      </c>
      <c r="E3" t="s">
        <v>17</v>
      </c>
      <c r="F3">
        <v>5</v>
      </c>
      <c r="G3">
        <v>20000</v>
      </c>
      <c r="H3">
        <f t="shared" ref="H3:H42" si="0">F3*G3</f>
        <v>100000</v>
      </c>
    </row>
    <row r="4" spans="1:8" x14ac:dyDescent="0.3">
      <c r="A4">
        <v>1003</v>
      </c>
      <c r="B4" s="2">
        <v>45294</v>
      </c>
      <c r="C4" t="s">
        <v>10</v>
      </c>
      <c r="D4" t="s">
        <v>14</v>
      </c>
      <c r="E4" t="s">
        <v>18</v>
      </c>
      <c r="F4">
        <v>3</v>
      </c>
      <c r="G4">
        <v>15000</v>
      </c>
      <c r="H4">
        <f t="shared" si="0"/>
        <v>45000</v>
      </c>
    </row>
    <row r="5" spans="1:8" x14ac:dyDescent="0.3">
      <c r="A5">
        <v>1004</v>
      </c>
      <c r="B5" s="2">
        <v>45295</v>
      </c>
      <c r="C5" t="s">
        <v>11</v>
      </c>
      <c r="D5" t="s">
        <v>15</v>
      </c>
      <c r="E5" t="s">
        <v>16</v>
      </c>
      <c r="F5">
        <v>1</v>
      </c>
      <c r="G5">
        <v>50000</v>
      </c>
      <c r="H5">
        <f t="shared" si="0"/>
        <v>50000</v>
      </c>
    </row>
    <row r="6" spans="1:8" x14ac:dyDescent="0.3">
      <c r="A6">
        <v>1005</v>
      </c>
      <c r="B6" s="2">
        <v>45296</v>
      </c>
      <c r="C6" t="s">
        <v>8</v>
      </c>
      <c r="D6" t="s">
        <v>12</v>
      </c>
      <c r="E6" t="s">
        <v>17</v>
      </c>
      <c r="F6">
        <v>4</v>
      </c>
      <c r="G6">
        <v>20000</v>
      </c>
      <c r="H6">
        <f t="shared" si="0"/>
        <v>80000</v>
      </c>
    </row>
    <row r="7" spans="1:8" x14ac:dyDescent="0.3">
      <c r="A7">
        <v>1006</v>
      </c>
      <c r="B7" s="2">
        <v>45297</v>
      </c>
      <c r="C7" t="s">
        <v>9</v>
      </c>
      <c r="D7" t="s">
        <v>13</v>
      </c>
      <c r="E7" t="s">
        <v>18</v>
      </c>
      <c r="F7">
        <v>1</v>
      </c>
      <c r="G7">
        <v>15000</v>
      </c>
      <c r="H7">
        <f t="shared" si="0"/>
        <v>15000</v>
      </c>
    </row>
    <row r="8" spans="1:8" x14ac:dyDescent="0.3">
      <c r="A8">
        <v>1007</v>
      </c>
      <c r="B8" s="2">
        <v>45298</v>
      </c>
      <c r="C8" t="s">
        <v>10</v>
      </c>
      <c r="D8" t="s">
        <v>14</v>
      </c>
      <c r="E8" t="s">
        <v>16</v>
      </c>
      <c r="F8">
        <v>2</v>
      </c>
      <c r="G8">
        <v>50000</v>
      </c>
      <c r="H8">
        <f t="shared" si="0"/>
        <v>100000</v>
      </c>
    </row>
    <row r="9" spans="1:8" x14ac:dyDescent="0.3">
      <c r="A9">
        <v>1008</v>
      </c>
      <c r="B9" s="2">
        <v>45299</v>
      </c>
      <c r="C9" t="s">
        <v>11</v>
      </c>
      <c r="D9" t="s">
        <v>15</v>
      </c>
      <c r="E9" t="s">
        <v>17</v>
      </c>
      <c r="F9">
        <v>3</v>
      </c>
      <c r="G9">
        <v>20000</v>
      </c>
      <c r="H9">
        <f t="shared" si="0"/>
        <v>60000</v>
      </c>
    </row>
    <row r="10" spans="1:8" x14ac:dyDescent="0.3">
      <c r="A10">
        <v>1009</v>
      </c>
      <c r="B10" s="2">
        <v>45300</v>
      </c>
      <c r="C10" t="s">
        <v>8</v>
      </c>
      <c r="D10" t="s">
        <v>12</v>
      </c>
      <c r="E10" t="s">
        <v>18</v>
      </c>
      <c r="F10">
        <v>4</v>
      </c>
      <c r="G10">
        <v>15000</v>
      </c>
      <c r="H10">
        <f t="shared" si="0"/>
        <v>60000</v>
      </c>
    </row>
    <row r="11" spans="1:8" x14ac:dyDescent="0.3">
      <c r="A11">
        <v>1010</v>
      </c>
      <c r="B11" s="2">
        <v>45301</v>
      </c>
      <c r="C11" t="s">
        <v>9</v>
      </c>
      <c r="D11" t="s">
        <v>13</v>
      </c>
      <c r="E11" t="s">
        <v>16</v>
      </c>
      <c r="F11">
        <v>5</v>
      </c>
      <c r="G11">
        <v>50000</v>
      </c>
      <c r="H11">
        <f t="shared" si="0"/>
        <v>250000</v>
      </c>
    </row>
    <row r="12" spans="1:8" x14ac:dyDescent="0.3">
      <c r="A12">
        <v>1011</v>
      </c>
      <c r="B12" s="2">
        <v>45302</v>
      </c>
      <c r="C12" t="s">
        <v>10</v>
      </c>
      <c r="D12" t="s">
        <v>14</v>
      </c>
      <c r="E12" t="s">
        <v>17</v>
      </c>
      <c r="F12">
        <v>5</v>
      </c>
      <c r="G12">
        <v>20000</v>
      </c>
      <c r="H12">
        <f t="shared" si="0"/>
        <v>100000</v>
      </c>
    </row>
    <row r="13" spans="1:8" x14ac:dyDescent="0.3">
      <c r="A13">
        <v>1012</v>
      </c>
      <c r="B13" s="2">
        <v>45303</v>
      </c>
      <c r="C13" t="s">
        <v>11</v>
      </c>
      <c r="D13" t="s">
        <v>15</v>
      </c>
      <c r="E13" t="s">
        <v>16</v>
      </c>
      <c r="F13">
        <v>4</v>
      </c>
      <c r="G13">
        <v>15000</v>
      </c>
      <c r="H13">
        <f t="shared" si="0"/>
        <v>60000</v>
      </c>
    </row>
    <row r="14" spans="1:8" x14ac:dyDescent="0.3">
      <c r="A14">
        <v>1013</v>
      </c>
      <c r="B14" s="2">
        <v>45304</v>
      </c>
      <c r="C14" t="s">
        <v>8</v>
      </c>
      <c r="D14" t="s">
        <v>12</v>
      </c>
      <c r="E14" t="s">
        <v>17</v>
      </c>
      <c r="F14">
        <v>3</v>
      </c>
      <c r="G14">
        <v>50000</v>
      </c>
      <c r="H14">
        <f t="shared" si="0"/>
        <v>150000</v>
      </c>
    </row>
    <row r="15" spans="1:8" x14ac:dyDescent="0.3">
      <c r="A15">
        <v>1014</v>
      </c>
      <c r="B15" s="2">
        <v>45305</v>
      </c>
      <c r="C15" t="s">
        <v>9</v>
      </c>
      <c r="D15" t="s">
        <v>13</v>
      </c>
      <c r="E15" t="s">
        <v>18</v>
      </c>
      <c r="F15">
        <v>2</v>
      </c>
      <c r="G15">
        <v>15000</v>
      </c>
      <c r="H15">
        <f t="shared" si="0"/>
        <v>30000</v>
      </c>
    </row>
    <row r="16" spans="1:8" x14ac:dyDescent="0.3">
      <c r="A16">
        <v>1015</v>
      </c>
      <c r="B16" s="2">
        <v>45306</v>
      </c>
      <c r="C16" t="s">
        <v>10</v>
      </c>
      <c r="D16" t="s">
        <v>14</v>
      </c>
      <c r="E16" t="s">
        <v>16</v>
      </c>
      <c r="F16">
        <v>1</v>
      </c>
      <c r="G16">
        <v>20000</v>
      </c>
      <c r="H16">
        <f t="shared" si="0"/>
        <v>20000</v>
      </c>
    </row>
    <row r="17" spans="1:8" x14ac:dyDescent="0.3">
      <c r="A17">
        <v>1016</v>
      </c>
      <c r="B17" s="2">
        <v>45307</v>
      </c>
      <c r="C17" t="s">
        <v>11</v>
      </c>
      <c r="D17" t="s">
        <v>15</v>
      </c>
      <c r="E17" t="s">
        <v>17</v>
      </c>
      <c r="F17">
        <v>2</v>
      </c>
      <c r="G17">
        <v>50000</v>
      </c>
      <c r="H17">
        <f>F17*G17</f>
        <v>100000</v>
      </c>
    </row>
    <row r="18" spans="1:8" x14ac:dyDescent="0.3">
      <c r="A18">
        <v>1017</v>
      </c>
      <c r="B18" s="2">
        <v>45308</v>
      </c>
      <c r="C18" t="s">
        <v>8</v>
      </c>
      <c r="D18" t="s">
        <v>12</v>
      </c>
      <c r="E18" t="s">
        <v>18</v>
      </c>
      <c r="F18">
        <v>4</v>
      </c>
      <c r="G18">
        <v>20000</v>
      </c>
      <c r="H18">
        <f t="shared" si="0"/>
        <v>80000</v>
      </c>
    </row>
    <row r="19" spans="1:8" x14ac:dyDescent="0.3">
      <c r="A19">
        <v>1018</v>
      </c>
      <c r="B19" s="2">
        <v>45309</v>
      </c>
      <c r="C19" t="s">
        <v>9</v>
      </c>
      <c r="D19" t="s">
        <v>13</v>
      </c>
      <c r="E19" t="s">
        <v>16</v>
      </c>
      <c r="F19">
        <v>5</v>
      </c>
      <c r="G19">
        <v>15000</v>
      </c>
      <c r="H19">
        <f t="shared" si="0"/>
        <v>75000</v>
      </c>
    </row>
    <row r="20" spans="1:8" x14ac:dyDescent="0.3">
      <c r="A20">
        <v>1019</v>
      </c>
      <c r="B20" s="2">
        <v>45310</v>
      </c>
      <c r="C20" t="s">
        <v>10</v>
      </c>
      <c r="D20" t="s">
        <v>14</v>
      </c>
      <c r="E20" t="s">
        <v>17</v>
      </c>
      <c r="F20">
        <v>1</v>
      </c>
      <c r="G20">
        <v>20000</v>
      </c>
      <c r="H20">
        <f t="shared" si="0"/>
        <v>20000</v>
      </c>
    </row>
    <row r="21" spans="1:8" x14ac:dyDescent="0.3">
      <c r="A21">
        <v>1020</v>
      </c>
      <c r="B21" s="2">
        <v>45311</v>
      </c>
      <c r="C21" t="s">
        <v>11</v>
      </c>
      <c r="D21" t="s">
        <v>15</v>
      </c>
      <c r="E21" t="s">
        <v>18</v>
      </c>
      <c r="F21">
        <v>3</v>
      </c>
      <c r="G21">
        <v>50000</v>
      </c>
      <c r="H21">
        <f t="shared" si="0"/>
        <v>150000</v>
      </c>
    </row>
    <row r="22" spans="1:8" x14ac:dyDescent="0.3">
      <c r="A22">
        <v>1021</v>
      </c>
      <c r="B22" s="2">
        <v>45312</v>
      </c>
      <c r="C22" t="s">
        <v>8</v>
      </c>
      <c r="D22" t="s">
        <v>12</v>
      </c>
      <c r="E22" t="s">
        <v>16</v>
      </c>
      <c r="F22">
        <v>4</v>
      </c>
      <c r="G22">
        <v>15000</v>
      </c>
      <c r="H22">
        <f t="shared" si="0"/>
        <v>60000</v>
      </c>
    </row>
    <row r="23" spans="1:8" x14ac:dyDescent="0.3">
      <c r="A23">
        <v>1022</v>
      </c>
      <c r="B23" s="2">
        <v>45313</v>
      </c>
      <c r="C23" t="s">
        <v>9</v>
      </c>
      <c r="D23" t="s">
        <v>13</v>
      </c>
      <c r="E23" t="s">
        <v>17</v>
      </c>
      <c r="F23">
        <v>5</v>
      </c>
      <c r="G23">
        <v>50000</v>
      </c>
      <c r="H23">
        <f t="shared" si="0"/>
        <v>250000</v>
      </c>
    </row>
    <row r="24" spans="1:8" x14ac:dyDescent="0.3">
      <c r="A24">
        <v>1023</v>
      </c>
      <c r="B24" s="2">
        <v>45314</v>
      </c>
      <c r="C24" t="s">
        <v>10</v>
      </c>
      <c r="D24" t="s">
        <v>14</v>
      </c>
      <c r="E24" t="s">
        <v>16</v>
      </c>
      <c r="F24">
        <v>3</v>
      </c>
      <c r="G24">
        <v>20000</v>
      </c>
      <c r="H24">
        <f t="shared" si="0"/>
        <v>60000</v>
      </c>
    </row>
    <row r="25" spans="1:8" x14ac:dyDescent="0.3">
      <c r="A25">
        <v>1024</v>
      </c>
      <c r="B25" s="2">
        <v>45315</v>
      </c>
      <c r="C25" t="s">
        <v>11</v>
      </c>
      <c r="D25" t="s">
        <v>15</v>
      </c>
      <c r="E25" t="s">
        <v>16</v>
      </c>
      <c r="F25">
        <v>1</v>
      </c>
      <c r="G25">
        <v>15000</v>
      </c>
      <c r="H25">
        <f t="shared" si="0"/>
        <v>15000</v>
      </c>
    </row>
    <row r="26" spans="1:8" x14ac:dyDescent="0.3">
      <c r="A26">
        <v>1025</v>
      </c>
      <c r="B26" s="2">
        <v>45316</v>
      </c>
      <c r="C26" t="s">
        <v>8</v>
      </c>
      <c r="D26" t="s">
        <v>12</v>
      </c>
      <c r="E26" t="s">
        <v>17</v>
      </c>
      <c r="F26">
        <v>2</v>
      </c>
      <c r="G26">
        <v>20000</v>
      </c>
      <c r="H26">
        <f t="shared" si="0"/>
        <v>40000</v>
      </c>
    </row>
    <row r="27" spans="1:8" x14ac:dyDescent="0.3">
      <c r="A27">
        <v>1026</v>
      </c>
      <c r="B27" s="2">
        <v>45317</v>
      </c>
      <c r="C27" t="s">
        <v>9</v>
      </c>
      <c r="D27" t="s">
        <v>13</v>
      </c>
      <c r="E27" t="s">
        <v>18</v>
      </c>
      <c r="F27">
        <v>4</v>
      </c>
      <c r="G27">
        <v>15000</v>
      </c>
      <c r="H27">
        <f t="shared" si="0"/>
        <v>60000</v>
      </c>
    </row>
    <row r="28" spans="1:8" x14ac:dyDescent="0.3">
      <c r="A28">
        <v>1027</v>
      </c>
      <c r="B28" s="2">
        <v>45318</v>
      </c>
      <c r="C28" t="s">
        <v>10</v>
      </c>
      <c r="D28" t="s">
        <v>14</v>
      </c>
      <c r="E28" t="s">
        <v>16</v>
      </c>
      <c r="F28">
        <v>5</v>
      </c>
      <c r="G28">
        <v>20000</v>
      </c>
      <c r="H28">
        <f>F28*G28</f>
        <v>100000</v>
      </c>
    </row>
    <row r="29" spans="1:8" x14ac:dyDescent="0.3">
      <c r="A29">
        <v>1028</v>
      </c>
      <c r="B29" s="2">
        <v>45319</v>
      </c>
      <c r="C29" t="s">
        <v>11</v>
      </c>
      <c r="D29" t="s">
        <v>15</v>
      </c>
      <c r="E29" t="s">
        <v>17</v>
      </c>
      <c r="F29">
        <v>1</v>
      </c>
      <c r="G29">
        <v>15000</v>
      </c>
      <c r="H29">
        <f t="shared" si="0"/>
        <v>15000</v>
      </c>
    </row>
    <row r="30" spans="1:8" x14ac:dyDescent="0.3">
      <c r="A30">
        <v>1029</v>
      </c>
      <c r="B30" s="2">
        <v>45320</v>
      </c>
      <c r="C30" t="s">
        <v>8</v>
      </c>
      <c r="D30" t="s">
        <v>12</v>
      </c>
      <c r="E30" t="s">
        <v>18</v>
      </c>
      <c r="F30">
        <v>3</v>
      </c>
      <c r="G30">
        <v>50000</v>
      </c>
      <c r="H30">
        <f t="shared" si="0"/>
        <v>150000</v>
      </c>
    </row>
    <row r="31" spans="1:8" x14ac:dyDescent="0.3">
      <c r="A31">
        <v>1030</v>
      </c>
      <c r="B31" s="2">
        <v>45321</v>
      </c>
      <c r="C31" t="s">
        <v>9</v>
      </c>
      <c r="D31" t="s">
        <v>13</v>
      </c>
      <c r="E31" t="s">
        <v>16</v>
      </c>
      <c r="F31">
        <v>2</v>
      </c>
      <c r="G31">
        <v>15000</v>
      </c>
      <c r="H31">
        <f t="shared" si="0"/>
        <v>30000</v>
      </c>
    </row>
    <row r="32" spans="1:8" x14ac:dyDescent="0.3">
      <c r="A32">
        <v>1031</v>
      </c>
      <c r="B32" s="2">
        <v>45322</v>
      </c>
      <c r="C32" t="s">
        <v>10</v>
      </c>
      <c r="D32" t="s">
        <v>14</v>
      </c>
      <c r="E32" t="s">
        <v>17</v>
      </c>
      <c r="F32">
        <v>5</v>
      </c>
      <c r="G32">
        <v>20000</v>
      </c>
      <c r="H32">
        <f t="shared" si="0"/>
        <v>100000</v>
      </c>
    </row>
    <row r="33" spans="1:8" x14ac:dyDescent="0.3">
      <c r="A33">
        <v>1032</v>
      </c>
      <c r="B33" s="2">
        <v>45323</v>
      </c>
      <c r="C33" t="s">
        <v>11</v>
      </c>
      <c r="D33" t="s">
        <v>15</v>
      </c>
      <c r="E33" t="s">
        <v>18</v>
      </c>
      <c r="F33">
        <v>4</v>
      </c>
      <c r="G33">
        <v>15000</v>
      </c>
      <c r="H33">
        <f t="shared" si="0"/>
        <v>60000</v>
      </c>
    </row>
    <row r="34" spans="1:8" x14ac:dyDescent="0.3">
      <c r="A34">
        <v>1033</v>
      </c>
      <c r="B34" s="2">
        <v>45324</v>
      </c>
      <c r="C34" t="s">
        <v>8</v>
      </c>
      <c r="D34" t="s">
        <v>12</v>
      </c>
      <c r="E34" t="s">
        <v>16</v>
      </c>
      <c r="F34">
        <v>1</v>
      </c>
      <c r="G34">
        <v>50000</v>
      </c>
      <c r="H34">
        <f t="shared" si="0"/>
        <v>50000</v>
      </c>
    </row>
    <row r="35" spans="1:8" x14ac:dyDescent="0.3">
      <c r="A35">
        <v>1034</v>
      </c>
      <c r="B35" s="2">
        <v>45325</v>
      </c>
      <c r="C35" t="s">
        <v>9</v>
      </c>
      <c r="D35" t="s">
        <v>13</v>
      </c>
      <c r="E35" t="s">
        <v>17</v>
      </c>
      <c r="F35">
        <v>2</v>
      </c>
      <c r="G35">
        <v>15000</v>
      </c>
      <c r="H35">
        <f t="shared" si="0"/>
        <v>30000</v>
      </c>
    </row>
    <row r="36" spans="1:8" x14ac:dyDescent="0.3">
      <c r="A36">
        <v>1035</v>
      </c>
      <c r="B36" s="2">
        <v>45326</v>
      </c>
      <c r="C36" t="s">
        <v>10</v>
      </c>
      <c r="D36" t="s">
        <v>14</v>
      </c>
      <c r="E36" t="s">
        <v>16</v>
      </c>
      <c r="F36">
        <v>3</v>
      </c>
      <c r="G36">
        <v>20000</v>
      </c>
      <c r="H36">
        <f t="shared" si="0"/>
        <v>60000</v>
      </c>
    </row>
    <row r="37" spans="1:8" x14ac:dyDescent="0.3">
      <c r="A37">
        <v>1036</v>
      </c>
      <c r="B37" s="2">
        <v>45327</v>
      </c>
      <c r="C37" t="s">
        <v>11</v>
      </c>
      <c r="D37" t="s">
        <v>15</v>
      </c>
      <c r="E37" t="s">
        <v>17</v>
      </c>
      <c r="F37">
        <v>4</v>
      </c>
      <c r="G37">
        <v>15000</v>
      </c>
      <c r="H37">
        <f t="shared" si="0"/>
        <v>60000</v>
      </c>
    </row>
    <row r="38" spans="1:8" x14ac:dyDescent="0.3">
      <c r="A38">
        <v>1037</v>
      </c>
      <c r="B38" s="2">
        <v>45328</v>
      </c>
      <c r="C38" t="s">
        <v>8</v>
      </c>
      <c r="D38" t="s">
        <v>12</v>
      </c>
      <c r="E38" t="s">
        <v>18</v>
      </c>
      <c r="F38">
        <v>5</v>
      </c>
      <c r="G38">
        <v>20000</v>
      </c>
      <c r="H38">
        <f t="shared" si="0"/>
        <v>100000</v>
      </c>
    </row>
    <row r="39" spans="1:8" x14ac:dyDescent="0.3">
      <c r="A39">
        <v>1038</v>
      </c>
      <c r="B39" s="2">
        <v>45329</v>
      </c>
      <c r="C39" t="s">
        <v>9</v>
      </c>
      <c r="D39" t="s">
        <v>13</v>
      </c>
      <c r="E39" t="s">
        <v>16</v>
      </c>
      <c r="F39">
        <v>3</v>
      </c>
      <c r="G39">
        <v>50000</v>
      </c>
      <c r="H39">
        <f t="shared" si="0"/>
        <v>150000</v>
      </c>
    </row>
    <row r="40" spans="1:8" x14ac:dyDescent="0.3">
      <c r="A40">
        <v>1039</v>
      </c>
      <c r="B40" s="2">
        <v>45330</v>
      </c>
      <c r="C40" t="s">
        <v>10</v>
      </c>
      <c r="D40" t="s">
        <v>14</v>
      </c>
      <c r="E40" t="s">
        <v>16</v>
      </c>
      <c r="F40">
        <v>1</v>
      </c>
      <c r="G40">
        <v>20000</v>
      </c>
      <c r="H40">
        <f t="shared" si="0"/>
        <v>20000</v>
      </c>
    </row>
    <row r="41" spans="1:8" x14ac:dyDescent="0.3">
      <c r="A41">
        <v>1040</v>
      </c>
      <c r="B41" s="2">
        <v>45331</v>
      </c>
      <c r="C41" t="s">
        <v>11</v>
      </c>
      <c r="D41" t="s">
        <v>15</v>
      </c>
      <c r="E41" t="s">
        <v>17</v>
      </c>
      <c r="F41">
        <v>2</v>
      </c>
      <c r="G41">
        <v>15000</v>
      </c>
      <c r="H41">
        <f t="shared" si="0"/>
        <v>30000</v>
      </c>
    </row>
    <row r="42" spans="1:8" x14ac:dyDescent="0.3">
      <c r="A42">
        <v>1041</v>
      </c>
      <c r="B42" s="2">
        <v>45332</v>
      </c>
      <c r="C42" t="s">
        <v>8</v>
      </c>
      <c r="D42" t="s">
        <v>12</v>
      </c>
      <c r="E42" t="s">
        <v>18</v>
      </c>
      <c r="F42">
        <v>5</v>
      </c>
      <c r="G42">
        <v>20000</v>
      </c>
      <c r="H42">
        <f t="shared" si="0"/>
        <v>100000</v>
      </c>
    </row>
    <row r="43" spans="1:8" x14ac:dyDescent="0.3">
      <c r="A43">
        <v>1042</v>
      </c>
      <c r="B43" s="2">
        <v>45333</v>
      </c>
      <c r="C43" t="s">
        <v>9</v>
      </c>
      <c r="D43" t="s">
        <v>13</v>
      </c>
      <c r="E43" t="s">
        <v>16</v>
      </c>
      <c r="F43">
        <v>3</v>
      </c>
      <c r="G43">
        <v>15000</v>
      </c>
      <c r="H43">
        <f>F43*G43</f>
        <v>45000</v>
      </c>
    </row>
    <row r="44" spans="1:8" x14ac:dyDescent="0.3">
      <c r="A44">
        <v>1043</v>
      </c>
      <c r="B44" s="2">
        <v>45334</v>
      </c>
      <c r="C44" t="s">
        <v>10</v>
      </c>
      <c r="D44" t="s">
        <v>14</v>
      </c>
      <c r="E44" t="s">
        <v>17</v>
      </c>
      <c r="F44">
        <v>2</v>
      </c>
      <c r="G44">
        <v>20000</v>
      </c>
      <c r="H44">
        <f>F44*G44</f>
        <v>40000</v>
      </c>
    </row>
    <row r="45" spans="1:8" x14ac:dyDescent="0.3">
      <c r="A45">
        <v>1044</v>
      </c>
      <c r="B45" s="2">
        <v>45335</v>
      </c>
      <c r="C45" t="s">
        <v>11</v>
      </c>
      <c r="D45" t="s">
        <v>15</v>
      </c>
      <c r="E45" t="s">
        <v>18</v>
      </c>
      <c r="F45">
        <v>4</v>
      </c>
      <c r="G45">
        <v>15000</v>
      </c>
      <c r="H45">
        <f t="shared" ref="H45:H50" si="1">F45*G45</f>
        <v>60000</v>
      </c>
    </row>
    <row r="46" spans="1:8" x14ac:dyDescent="0.3">
      <c r="A46">
        <v>1045</v>
      </c>
      <c r="B46" s="2">
        <v>45336</v>
      </c>
      <c r="C46" t="s">
        <v>8</v>
      </c>
      <c r="D46" t="s">
        <v>12</v>
      </c>
      <c r="E46" t="s">
        <v>16</v>
      </c>
      <c r="F46">
        <v>2</v>
      </c>
      <c r="G46">
        <v>50000</v>
      </c>
      <c r="H46">
        <f t="shared" si="1"/>
        <v>100000</v>
      </c>
    </row>
    <row r="47" spans="1:8" x14ac:dyDescent="0.3">
      <c r="A47">
        <v>1046</v>
      </c>
      <c r="B47" s="2">
        <v>45337</v>
      </c>
      <c r="C47" t="s">
        <v>9</v>
      </c>
      <c r="D47" t="s">
        <v>13</v>
      </c>
      <c r="E47" t="s">
        <v>17</v>
      </c>
      <c r="F47">
        <v>3</v>
      </c>
      <c r="G47">
        <v>15000</v>
      </c>
      <c r="H47">
        <f t="shared" si="1"/>
        <v>45000</v>
      </c>
    </row>
    <row r="48" spans="1:8" x14ac:dyDescent="0.3">
      <c r="A48">
        <v>1047</v>
      </c>
      <c r="B48" s="2">
        <v>45338</v>
      </c>
      <c r="C48" t="s">
        <v>10</v>
      </c>
      <c r="D48" t="s">
        <v>14</v>
      </c>
      <c r="E48" t="s">
        <v>18</v>
      </c>
      <c r="F48">
        <v>1</v>
      </c>
      <c r="G48">
        <v>20000</v>
      </c>
      <c r="H48">
        <f t="shared" si="1"/>
        <v>20000</v>
      </c>
    </row>
    <row r="49" spans="1:8" x14ac:dyDescent="0.3">
      <c r="A49">
        <v>1048</v>
      </c>
      <c r="B49" s="2">
        <v>45339</v>
      </c>
      <c r="C49" t="s">
        <v>11</v>
      </c>
      <c r="D49" t="s">
        <v>15</v>
      </c>
      <c r="E49" t="s">
        <v>16</v>
      </c>
      <c r="F49">
        <v>5</v>
      </c>
      <c r="G49">
        <v>50000</v>
      </c>
      <c r="H49">
        <f t="shared" si="1"/>
        <v>250000</v>
      </c>
    </row>
    <row r="50" spans="1:8" x14ac:dyDescent="0.3">
      <c r="A50">
        <v>1049</v>
      </c>
      <c r="B50" s="2">
        <v>45340</v>
      </c>
      <c r="C50" t="s">
        <v>8</v>
      </c>
      <c r="D50" t="s">
        <v>12</v>
      </c>
      <c r="E50" t="s">
        <v>17</v>
      </c>
      <c r="F50">
        <v>2</v>
      </c>
      <c r="G50">
        <v>20000</v>
      </c>
      <c r="H50">
        <f t="shared" si="1"/>
        <v>40000</v>
      </c>
    </row>
    <row r="51" spans="1:8" x14ac:dyDescent="0.3">
      <c r="A51">
        <v>1050</v>
      </c>
      <c r="B51" s="2">
        <v>45341</v>
      </c>
      <c r="C51" t="s">
        <v>9</v>
      </c>
      <c r="D51" t="s">
        <v>13</v>
      </c>
      <c r="E51" t="s">
        <v>16</v>
      </c>
      <c r="F51">
        <v>3</v>
      </c>
      <c r="G51">
        <v>15000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E140E-E6EB-4437-AE05-3E6E3DACD201}">
  <dimension ref="A1:P6"/>
  <sheetViews>
    <sheetView tabSelected="1" zoomScale="64" workbookViewId="0">
      <selection activeCell="T6" sqref="T6"/>
    </sheetView>
  </sheetViews>
  <sheetFormatPr defaultRowHeight="14.4" x14ac:dyDescent="0.3"/>
  <sheetData>
    <row r="1" spans="1:16" ht="14.4" customHeight="1" x14ac:dyDescent="0.3">
      <c r="A1" s="8" t="s">
        <v>24</v>
      </c>
      <c r="B1" s="7"/>
      <c r="C1" s="7"/>
      <c r="D1" s="7"/>
      <c r="E1" s="7"/>
      <c r="F1" s="7"/>
      <c r="G1" s="7"/>
      <c r="H1" s="7"/>
      <c r="I1" s="7"/>
      <c r="J1" s="7"/>
      <c r="K1" s="7"/>
      <c r="L1" s="7"/>
      <c r="M1" s="7"/>
      <c r="N1" s="7"/>
      <c r="O1" s="7"/>
      <c r="P1" s="7"/>
    </row>
    <row r="2" spans="1:16" ht="14.4" customHeight="1" x14ac:dyDescent="0.3">
      <c r="A2" s="7"/>
      <c r="B2" s="7"/>
      <c r="C2" s="7"/>
      <c r="D2" s="7"/>
      <c r="E2" s="7"/>
      <c r="F2" s="7"/>
      <c r="G2" s="7"/>
      <c r="H2" s="7"/>
      <c r="I2" s="7"/>
      <c r="J2" s="7"/>
      <c r="K2" s="7"/>
      <c r="L2" s="7"/>
      <c r="M2" s="7"/>
      <c r="N2" s="7"/>
      <c r="O2" s="7"/>
      <c r="P2" s="7"/>
    </row>
    <row r="6" spans="1:16" x14ac:dyDescent="0.3">
      <c r="I6" s="6"/>
    </row>
  </sheetData>
  <mergeCells count="1">
    <mergeCell ref="A1:P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Sales_by_Region</vt:lpstr>
      <vt:lpstr>Sales_by_Product</vt:lpstr>
      <vt:lpstr>Sales_by_Salesperson</vt:lpstr>
      <vt:lpstr>Monthly_sales</vt:lpstr>
      <vt:lpstr>Sheet1</vt:lpstr>
      <vt:lpstr>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 sp</dc:creator>
  <cp:lastModifiedBy>priya sp</cp:lastModifiedBy>
  <dcterms:created xsi:type="dcterms:W3CDTF">2026-03-16T10:19:58Z</dcterms:created>
  <dcterms:modified xsi:type="dcterms:W3CDTF">2026-03-16T11:30:16Z</dcterms:modified>
</cp:coreProperties>
</file>